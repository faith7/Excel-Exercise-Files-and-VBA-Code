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drawings/drawing1.xml" ContentType="application/vnd.openxmlformats-officedocument.drawing+xml"/>
  <Override PartName="/xl/tables/table3.xml" ContentType="application/vnd.openxmlformats-officedocument.spreadsheetml.table+xml"/>
  <Override PartName="/xl/charts/chart1.xml" ContentType="application/vnd.openxmlformats-officedocument.drawingml.chart+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6" rupBuild="18528" codeName="{B1203076-2D4D-A25B-A398-973B695A806A}"/>
  <workbookPr codeName="ThisWorkbook"/>
  <mc:AlternateContent xmlns:mc="http://schemas.openxmlformats.org/markup-compatibility/2006">
    <mc:Choice Requires="x15">
      <x15ac:absPath xmlns:x15ac="http://schemas.microsoft.com/office/spreadsheetml/2010/11/ac" url="C:\Users\JieJenn\Google Drive\Jie Jenn (YouTube)\_Exercise Files (Excel)\Macro Table of Contents\"/>
    </mc:Choice>
  </mc:AlternateContent>
  <bookViews>
    <workbookView xWindow="0" yWindow="0" windowWidth="21600" windowHeight="8325" activeTab="3"/>
  </bookViews>
  <sheets>
    <sheet name="Table of Contents" sheetId="14" r:id="rId1"/>
    <sheet name="Monthly Expenses" sheetId="8" r:id="rId2"/>
    <sheet name="Monthly Income" sheetId="7" r:id="rId3"/>
    <sheet name="Summary" sheetId="6" r:id="rId4"/>
    <sheet name="Start" sheetId="4" r:id="rId5"/>
    <sheet name="KNOWLEDGE MANAGEMENT REPORT" sheetId="1" r:id="rId6"/>
    <sheet name="EXPENSE REPORT" sheetId="5" r:id="rId7"/>
  </sheets>
  <definedNames>
    <definedName name="Advances">'EXPENSE REPORT'!$L$21</definedName>
    <definedName name="BudgetTitle">Summary!$B$1</definedName>
    <definedName name="ColumnTitle1" localSheetId="1">Summary[[#Headers],[Total Monthly Income]]</definedName>
    <definedName name="ColumnTitle1" localSheetId="2">Summary[[#Headers],[Total Monthly Income]]</definedName>
    <definedName name="ColumnTitle1" localSheetId="3">Summary[[#Headers],[Total Monthly Income]]</definedName>
    <definedName name="ColumnTitle1">ExpenseData[[#Headers],[Date]]</definedName>
    <definedName name="ColumnTitle2">Income[[#Headers],[Item]]</definedName>
    <definedName name="ColumnTitle3">Expense[[#Headers],[Item]]</definedName>
    <definedName name="_xlnm.Print_Titles" localSheetId="6">'EXPENSE REPORT'!$7:$7</definedName>
    <definedName name="_xlnm.Print_Titles" localSheetId="1">'Monthly Expenses'!$3:$3</definedName>
    <definedName name="_xlnm.Print_Titles" localSheetId="2">'Monthly Income'!$3:$3</definedName>
    <definedName name="Subtotal">'EXPENSE REPORT'!$L$20</definedName>
    <definedName name="TotalMonthlyExpenses">SUM(Expense[Amount])</definedName>
    <definedName name="TotalMonthlyIncome">SUM(Income[Amount])</definedName>
  </definedNames>
  <calcPr calcId="162913" concurrentCalc="0"/>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B1" i="8" l="1"/>
  <c r="B1" i="7"/>
  <c r="B3" i="6"/>
  <c r="E3" i="6"/>
  <c r="B6" i="6"/>
  <c r="C6" i="6"/>
  <c r="D6" i="6"/>
  <c r="J2" i="5"/>
  <c r="L2" i="5"/>
  <c r="L8" i="5"/>
  <c r="L9" i="5"/>
  <c r="L10" i="5"/>
  <c r="L11" i="5"/>
  <c r="L12" i="5"/>
  <c r="L13" i="5"/>
  <c r="L14" i="5"/>
  <c r="L15" i="5"/>
  <c r="L16" i="5"/>
  <c r="L17" i="5"/>
  <c r="L18" i="5"/>
  <c r="E19" i="5"/>
  <c r="F19" i="5"/>
  <c r="G19" i="5"/>
  <c r="H19" i="5"/>
  <c r="I19" i="5"/>
  <c r="J19" i="5"/>
  <c r="K19" i="5"/>
  <c r="L19" i="5"/>
  <c r="L20" i="5"/>
  <c r="L22" i="5"/>
  <c r="E27" i="1"/>
  <c r="D27" i="1"/>
  <c r="C27" i="1"/>
  <c r="D22" i="1"/>
  <c r="E22" i="1"/>
  <c r="C22" i="1"/>
  <c r="E15" i="1"/>
  <c r="D15" i="1"/>
  <c r="C15" i="1"/>
  <c r="E8" i="1"/>
  <c r="D8" i="1"/>
  <c r="C8" i="1"/>
  <c r="E20" i="1"/>
  <c r="D20" i="1"/>
  <c r="C20" i="1"/>
</calcChain>
</file>

<file path=xl/sharedStrings.xml><?xml version="1.0" encoding="utf-8"?>
<sst xmlns="http://schemas.openxmlformats.org/spreadsheetml/2006/main" count="119" uniqueCount="102">
  <si>
    <t>Knowledge Management Report</t>
  </si>
  <si>
    <t>Knowledge Management Statistics</t>
  </si>
  <si>
    <t>Knowledge content</t>
  </si>
  <si>
    <t>Number of pieces of content</t>
  </si>
  <si>
    <t>Estimated total number of pieces of content required</t>
  </si>
  <si>
    <t>Percentage completed</t>
  </si>
  <si>
    <t>Knowledge infrastructure — annual costs</t>
  </si>
  <si>
    <t>Presentation and search capability</t>
  </si>
  <si>
    <t>Document management capability</t>
  </si>
  <si>
    <t>File storage and network access</t>
  </si>
  <si>
    <t>Other</t>
  </si>
  <si>
    <t>Total infrastructure costs</t>
  </si>
  <si>
    <t>End-user statistics</t>
  </si>
  <si>
    <t>Number of active users with access</t>
  </si>
  <si>
    <t>Number of users logging in within last 7 days</t>
  </si>
  <si>
    <t>Percentage</t>
  </si>
  <si>
    <t>Number of users logging in within last 30 days</t>
  </si>
  <si>
    <t>Content submission</t>
  </si>
  <si>
    <t>Number of pieces of content submitted by users</t>
  </si>
  <si>
    <t>Number of pieces of content accepted</t>
  </si>
  <si>
    <t>Acceptance rate</t>
  </si>
  <si>
    <t>Date</t>
  </si>
  <si>
    <t>Company Name</t>
  </si>
  <si>
    <t>Knowledge area 1</t>
  </si>
  <si>
    <t>Knowledge area 2</t>
  </si>
  <si>
    <t>Knowledge area 3</t>
  </si>
  <si>
    <t>Track Knowledge Management Statistics using this workbook.</t>
  </si>
  <si>
    <t xml:space="preserve">Fill in Date and Company Name in Knowledge Management Report.  </t>
  </si>
  <si>
    <t>Enter details in tables.</t>
  </si>
  <si>
    <t>The User Activity chart is auto updated in the other worksheet.</t>
  </si>
  <si>
    <t>Note: </t>
  </si>
  <si>
    <t>To learn more about tables, press SHIFT and then F10 within a table, select the TABLE option, and then select ALTERNATIVE TEXT.</t>
  </si>
  <si>
    <t>ABOUT THIS TEMPLATE</t>
  </si>
  <si>
    <t>Tip is in cell at right.</t>
  </si>
  <si>
    <t>Blue cells are calculated for you. You do not need to enter anything in them.</t>
  </si>
  <si>
    <t>Additional instructions have been provided in column A in KNOWLEDGE MANAGEMENT REPORT worksheet. This text has been intentionally hidden. To remove text, select column A or cell A1, then select DELETE. To unhide text, select column A or cell A1, then change font color.</t>
  </si>
  <si>
    <t>Create a Knowledge Management Report in this worksheet. Helpful instructions on how to use this worksheet are in cells in this column. Title of the worksheet is in cell at right. Enter Date in cell E1.</t>
  </si>
  <si>
    <t>Enter Company Name in cell at right.</t>
  </si>
  <si>
    <t>Knowledge Management Statistics label is in cell at right.</t>
  </si>
  <si>
    <t>Enter details in Content table starting in cell at right. Next instruction is in cell A10.</t>
  </si>
  <si>
    <t>Enter details in Infrastructure Annual Costs table starting in cell at right. Next instruction is in cell A17.</t>
  </si>
  <si>
    <t>Enter details in End User Statistics table starting in cell at right. Next instruction is in cell A24.</t>
  </si>
  <si>
    <t>Enter details in Content Submission table starting in cell at right.</t>
  </si>
  <si>
    <t>TOTAL</t>
  </si>
  <si>
    <t>ADVANCES</t>
  </si>
  <si>
    <t xml:space="preserve">NOTES: </t>
  </si>
  <si>
    <t>APPROVED:</t>
  </si>
  <si>
    <t>SUBTOTAL</t>
  </si>
  <si>
    <t>Total</t>
  </si>
  <si>
    <t>Misc.</t>
  </si>
  <si>
    <t>Entertainment</t>
  </si>
  <si>
    <t>Phone</t>
  </si>
  <si>
    <t>Meals</t>
  </si>
  <si>
    <t>Fuel</t>
  </si>
  <si>
    <t>Transport</t>
  </si>
  <si>
    <t>Hotel</t>
  </si>
  <si>
    <t>Description</t>
  </si>
  <si>
    <t>Account</t>
  </si>
  <si>
    <t>EMPLOYEE ID</t>
  </si>
  <si>
    <t>MANAGER</t>
  </si>
  <si>
    <t>DEPARTMENT</t>
  </si>
  <si>
    <t>SSN</t>
  </si>
  <si>
    <t>POSITION</t>
  </si>
  <si>
    <t>NAME</t>
  </si>
  <si>
    <t>EMPLOYEE INFORMATION:</t>
  </si>
  <si>
    <t>TO:</t>
  </si>
  <si>
    <t>FROM:</t>
  </si>
  <si>
    <t>PAY PERIOD</t>
  </si>
  <si>
    <t>STATEMENT NUMBER:</t>
  </si>
  <si>
    <t>PURPOSE:</t>
  </si>
  <si>
    <t>For Office Use Only</t>
  </si>
  <si>
    <t>EXPENSE REPORT</t>
  </si>
  <si>
    <t>Balance</t>
  </si>
  <si>
    <t>Total Monthly Expenses</t>
  </si>
  <si>
    <t>Total Monthly Income</t>
  </si>
  <si>
    <t>SUMMARY</t>
  </si>
  <si>
    <t>PERCENTAGE OF INCOME SPENT</t>
  </si>
  <si>
    <t>SIMPLE MONTHLY BUDGET</t>
  </si>
  <si>
    <t>Income 2</t>
  </si>
  <si>
    <t>Income 1</t>
  </si>
  <si>
    <t>Amount</t>
  </si>
  <si>
    <t>Item</t>
  </si>
  <si>
    <t>MONTHLY INCOME</t>
  </si>
  <si>
    <t>Miscellaneous</t>
  </si>
  <si>
    <t>Personal care</t>
  </si>
  <si>
    <t>Auto Insurance</t>
  </si>
  <si>
    <t>Credit cards</t>
  </si>
  <si>
    <t>Student loans</t>
  </si>
  <si>
    <t>Auto expenses</t>
  </si>
  <si>
    <t>Car payment</t>
  </si>
  <si>
    <t>Groceries</t>
  </si>
  <si>
    <t>Cell phone</t>
  </si>
  <si>
    <t>Gas</t>
  </si>
  <si>
    <t>Electric</t>
  </si>
  <si>
    <t>Rent/mortgage</t>
  </si>
  <si>
    <t>MONTHLY EXPENSES</t>
  </si>
  <si>
    <t>Table of Contents</t>
  </si>
  <si>
    <t>Monthly Expenses</t>
  </si>
  <si>
    <t>Monthly Income</t>
  </si>
  <si>
    <t>Summary</t>
  </si>
  <si>
    <t>Start</t>
  </si>
  <si>
    <t>KNOWLEDGE MANAGEMENT REPORT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</si>
</sst>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4">
    <numFmt numFmtId="7" formatCode="&quot;$&quot;#,##0.00_);\(&quot;$&quot;#,##0.00\)"/>
    <numFmt numFmtId="8" formatCode="&quot;$&quot;#,##0.00_);[Red]\(&quot;$&quot;#,##0.00\)"/>
    <numFmt numFmtId="164" formatCode="&quot;$&quot;#,##0.00"/>
    <numFmt numFmtId="165" formatCode="&quot;$&quot;#,##0"/>
  </numFmts>
  <fonts count="28" x14ac:knownFonts="1">
    <font>
      <sz val="11"/>
      <name val="Calibri"/>
      <family val="2"/>
      <scheme val="minor"/>
    </font>
    <font>
      <b/>
      <sz val="11"/>
      <color theme="1"/>
      <name val="Calibri"/>
      <family val="2"/>
      <scheme val="minor"/>
    </font>
    <font>
      <sz val="26"/>
      <color theme="1" tint="0.14993743705557422"/>
      <name val="Century Gothic"/>
      <family val="2"/>
      <scheme val="major"/>
    </font>
    <font>
      <sz val="11"/>
      <color theme="0"/>
      <name val="Calibri"/>
      <family val="2"/>
      <scheme val="minor"/>
    </font>
    <font>
      <sz val="12"/>
      <color theme="0"/>
      <name val="Century Gothic"/>
      <family val="2"/>
      <scheme val="major"/>
    </font>
    <font>
      <sz val="10"/>
      <color theme="5"/>
      <name val="Calibri"/>
      <family val="2"/>
      <scheme val="minor"/>
    </font>
    <font>
      <b/>
      <sz val="12"/>
      <color theme="5"/>
      <name val="Calibri"/>
      <family val="2"/>
      <scheme val="minor"/>
    </font>
    <font>
      <sz val="14"/>
      <color theme="0"/>
      <name val="Franklin Gothic Demi"/>
      <family val="2"/>
    </font>
    <font>
      <b/>
      <sz val="12"/>
      <name val="Century Gothic"/>
      <family val="2"/>
      <scheme val="major"/>
    </font>
    <font>
      <sz val="48"/>
      <color theme="5"/>
      <name val="Franklin Gothic Demi"/>
      <family val="2"/>
    </font>
    <font>
      <b/>
      <sz val="16"/>
      <color theme="0"/>
      <name val="Century Gothic"/>
      <family val="2"/>
      <scheme val="major"/>
    </font>
    <font>
      <b/>
      <sz val="11"/>
      <name val="Calibri"/>
      <family val="2"/>
      <scheme val="minor"/>
    </font>
    <font>
      <sz val="11"/>
      <color theme="1" tint="0.24994659260841701"/>
      <name val="Calibri"/>
      <family val="2"/>
      <scheme val="minor"/>
    </font>
    <font>
      <sz val="11"/>
      <color theme="1" tint="0.24994659260841701"/>
      <name val="Century Gothic"/>
      <family val="2"/>
      <scheme val="major"/>
    </font>
    <font>
      <sz val="10"/>
      <name val="Tahoma"/>
      <family val="2"/>
    </font>
    <font>
      <b/>
      <sz val="11"/>
      <color theme="4" tint="-0.499984740745262"/>
      <name val="Century Gothic"/>
      <family val="2"/>
      <scheme val="major"/>
    </font>
    <font>
      <b/>
      <sz val="12"/>
      <color theme="4" tint="-0.499984740745262"/>
      <name val="Century Gothic"/>
      <family val="2"/>
      <scheme val="major"/>
    </font>
    <font>
      <i/>
      <u/>
      <sz val="9"/>
      <color theme="1" tint="4.9989318521683403E-2"/>
      <name val="Century Gothic"/>
      <family val="2"/>
      <scheme val="major"/>
    </font>
    <font>
      <sz val="24"/>
      <color theme="4" tint="-0.499984740745262"/>
      <name val="Century Gothic"/>
      <family val="2"/>
      <scheme val="major"/>
    </font>
    <font>
      <sz val="11"/>
      <color theme="3"/>
      <name val="Calibri"/>
      <family val="1"/>
      <scheme val="minor"/>
    </font>
    <font>
      <sz val="16"/>
      <color theme="3"/>
      <name val="Calibri"/>
      <family val="2"/>
      <scheme val="minor"/>
    </font>
    <font>
      <sz val="15.75"/>
      <color theme="3"/>
      <name val="Calibri"/>
      <family val="2"/>
      <scheme val="minor"/>
    </font>
    <font>
      <i/>
      <sz val="11"/>
      <color theme="4" tint="-0.499984740745262"/>
      <name val="Century Gothic"/>
      <family val="1"/>
      <scheme val="major"/>
    </font>
    <font>
      <sz val="14"/>
      <color theme="3"/>
      <name val="Calibri"/>
      <family val="2"/>
      <scheme val="minor"/>
    </font>
    <font>
      <sz val="22"/>
      <color theme="4" tint="-0.499984740745262"/>
      <name val="Calibri"/>
      <family val="2"/>
      <scheme val="minor"/>
    </font>
    <font>
      <sz val="11"/>
      <color theme="0" tint="-0.34998626667073579"/>
      <name val="Calibri"/>
      <family val="1"/>
      <scheme val="minor"/>
    </font>
    <font>
      <sz val="25"/>
      <color theme="3"/>
      <name val="Calibri"/>
      <family val="2"/>
      <scheme val="minor"/>
    </font>
    <font>
      <u/>
      <sz val="11"/>
      <color theme="10"/>
      <name val="Calibri"/>
      <family val="2"/>
      <scheme val="minor"/>
    </font>
  </fonts>
  <fills count="12">
    <fill>
      <patternFill patternType="none"/>
    </fill>
    <fill>
      <patternFill patternType="gray125"/>
    </fill>
    <fill>
      <patternFill patternType="solid">
        <fgColor theme="5"/>
        <bgColor indexed="64"/>
      </patternFill>
    </fill>
    <fill>
      <patternFill patternType="solid">
        <fgColor theme="5" tint="0.79998168889431442"/>
        <bgColor indexed="64"/>
      </patternFill>
    </fill>
    <fill>
      <patternFill patternType="solid">
        <fgColor theme="7"/>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theme="5" tint="0.79998168889431442"/>
        <bgColor theme="8" tint="0.79998168889431442"/>
      </patternFill>
    </fill>
    <fill>
      <patternFill patternType="solid">
        <fgColor theme="0" tint="-0.14999847407452621"/>
        <bgColor theme="8" tint="0.79998168889431442"/>
      </patternFill>
    </fill>
    <fill>
      <patternFill patternType="solid">
        <fgColor theme="9"/>
        <bgColor indexed="64"/>
      </patternFill>
    </fill>
    <fill>
      <patternFill patternType="solid">
        <fgColor theme="4" tint="0.79998168889431442"/>
        <bgColor indexed="64"/>
      </patternFill>
    </fill>
    <fill>
      <patternFill patternType="solid">
        <fgColor theme="0" tint="-0.34998626667073579"/>
        <bgColor indexed="64"/>
      </patternFill>
    </fill>
  </fills>
  <borders count="20">
    <border>
      <left/>
      <right/>
      <top/>
      <bottom/>
      <diagonal/>
    </border>
    <border>
      <left/>
      <right/>
      <top/>
      <bottom style="medium">
        <color theme="7" tint="-0.24994659260841701"/>
      </bottom>
      <diagonal/>
    </border>
    <border>
      <left style="medium">
        <color theme="0"/>
      </left>
      <right style="medium">
        <color theme="0"/>
      </right>
      <top style="medium">
        <color theme="0"/>
      </top>
      <bottom style="medium">
        <color theme="0"/>
      </bottom>
      <diagonal/>
    </border>
    <border>
      <left/>
      <right/>
      <top/>
      <bottom style="medium">
        <color theme="5"/>
      </bottom>
      <diagonal/>
    </border>
    <border>
      <left style="medium">
        <color theme="0"/>
      </left>
      <right style="medium">
        <color theme="0"/>
      </right>
      <top/>
      <bottom style="medium">
        <color theme="0"/>
      </bottom>
      <diagonal/>
    </border>
    <border>
      <left style="medium">
        <color theme="0"/>
      </left>
      <right style="medium">
        <color theme="0"/>
      </right>
      <top style="medium">
        <color theme="0"/>
      </top>
      <bottom style="medium">
        <color theme="5"/>
      </bottom>
      <diagonal/>
    </border>
    <border>
      <left style="medium">
        <color theme="0"/>
      </left>
      <right style="medium">
        <color theme="0"/>
      </right>
      <top style="medium">
        <color theme="0"/>
      </top>
      <bottom/>
      <diagonal/>
    </border>
    <border>
      <left style="medium">
        <color theme="0"/>
      </left>
      <right style="medium">
        <color theme="0"/>
      </right>
      <top/>
      <bottom/>
      <diagonal/>
    </border>
    <border>
      <left style="thin">
        <color theme="4"/>
      </left>
      <right style="thin">
        <color theme="4"/>
      </right>
      <top style="double">
        <color theme="4"/>
      </top>
      <bottom style="thin">
        <color theme="4"/>
      </bottom>
      <diagonal/>
    </border>
    <border>
      <left/>
      <right/>
      <top/>
      <bottom style="thin">
        <color theme="1" tint="0.34998626667073579"/>
      </bottom>
      <diagonal/>
    </border>
    <border>
      <left/>
      <right style="thin">
        <color theme="4"/>
      </right>
      <top/>
      <bottom/>
      <diagonal/>
    </border>
    <border>
      <left style="thin">
        <color theme="4"/>
      </left>
      <right style="thin">
        <color theme="4"/>
      </right>
      <top style="thin">
        <color theme="4"/>
      </top>
      <bottom style="thin">
        <color theme="4"/>
      </bottom>
      <diagonal/>
    </border>
    <border>
      <left/>
      <right/>
      <top style="medium">
        <color theme="2" tint="-9.9948118533890809E-2"/>
      </top>
      <bottom/>
      <diagonal/>
    </border>
    <border>
      <left/>
      <right/>
      <top style="medium">
        <color theme="2" tint="-9.9948118533890809E-2"/>
      </top>
      <bottom style="medium">
        <color theme="2" tint="-9.9948118533890809E-2"/>
      </bottom>
      <diagonal/>
    </border>
    <border>
      <left/>
      <right/>
      <top/>
      <bottom style="medium">
        <color theme="2" tint="-9.9948118533890809E-2"/>
      </bottom>
      <diagonal/>
    </border>
    <border>
      <left style="thick">
        <color theme="0"/>
      </left>
      <right style="thick">
        <color theme="0"/>
      </right>
      <top style="thick">
        <color theme="0"/>
      </top>
      <bottom/>
      <diagonal/>
    </border>
    <border>
      <left style="thick">
        <color theme="0"/>
      </left>
      <right style="thick">
        <color theme="0"/>
      </right>
      <top style="thick">
        <color theme="0"/>
      </top>
      <bottom style="thick">
        <color theme="0"/>
      </bottom>
      <diagonal/>
    </border>
    <border>
      <left/>
      <right style="thick">
        <color theme="0"/>
      </right>
      <top style="thick">
        <color theme="0"/>
      </top>
      <bottom style="thick">
        <color theme="0"/>
      </bottom>
      <diagonal/>
    </border>
    <border>
      <left/>
      <right/>
      <top style="thick">
        <color theme="0"/>
      </top>
      <bottom style="thick">
        <color theme="0"/>
      </bottom>
      <diagonal/>
    </border>
    <border>
      <left style="thick">
        <color theme="0"/>
      </left>
      <right/>
      <top style="thick">
        <color theme="0"/>
      </top>
      <bottom style="thick">
        <color theme="0"/>
      </bottom>
      <diagonal/>
    </border>
  </borders>
  <cellStyleXfs count="31">
    <xf numFmtId="0" fontId="0" fillId="0" borderId="0">
      <alignment wrapText="1"/>
    </xf>
    <xf numFmtId="0" fontId="2" fillId="0" borderId="1" applyNumberFormat="0" applyFill="0" applyProtection="0">
      <alignment horizontal="left"/>
    </xf>
    <xf numFmtId="0" fontId="7" fillId="0" borderId="0" applyNumberFormat="0" applyFill="0" applyBorder="0" applyProtection="0">
      <alignment horizontal="left" vertical="center"/>
    </xf>
    <xf numFmtId="0" fontId="7" fillId="0" borderId="0" applyNumberFormat="0" applyFill="0" applyProtection="0">
      <alignment horizontal="right" vertical="center"/>
    </xf>
    <xf numFmtId="0" fontId="8" fillId="0" borderId="0" applyNumberFormat="0" applyFill="0" applyBorder="0" applyProtection="0">
      <alignment horizontal="left"/>
    </xf>
    <xf numFmtId="0" fontId="9" fillId="0" borderId="0">
      <alignment horizontal="center" vertical="center"/>
    </xf>
    <xf numFmtId="0" fontId="6" fillId="0" borderId="0">
      <alignment horizontal="left" vertical="center"/>
    </xf>
    <xf numFmtId="0" fontId="12" fillId="0" borderId="0"/>
    <xf numFmtId="164" fontId="1" fillId="10" borderId="8">
      <alignment horizontal="center"/>
    </xf>
    <xf numFmtId="0" fontId="13" fillId="0" borderId="0" applyFill="0" applyProtection="0">
      <alignment horizontal="right" vertical="center" indent="1"/>
    </xf>
    <xf numFmtId="0" fontId="12" fillId="0" borderId="9">
      <alignment horizontal="left" vertical="center" wrapText="1"/>
    </xf>
    <xf numFmtId="7" fontId="1" fillId="0" borderId="10">
      <alignment horizontal="center"/>
    </xf>
    <xf numFmtId="0" fontId="15" fillId="0" borderId="0" applyFill="0" applyProtection="0">
      <alignment horizontal="right" vertical="center" wrapText="1"/>
    </xf>
    <xf numFmtId="7" fontId="1" fillId="10" borderId="11">
      <alignment horizontal="center"/>
    </xf>
    <xf numFmtId="7" fontId="12" fillId="0" borderId="0" applyFont="0" applyFill="0" applyBorder="0" applyProtection="0">
      <alignment vertical="center"/>
    </xf>
    <xf numFmtId="0" fontId="12" fillId="0" borderId="0">
      <alignment vertical="center" wrapText="1"/>
    </xf>
    <xf numFmtId="14" fontId="12" fillId="0" borderId="0">
      <alignment horizontal="left" vertical="center"/>
    </xf>
    <xf numFmtId="0" fontId="12" fillId="0" borderId="0">
      <alignment vertical="center"/>
    </xf>
    <xf numFmtId="0" fontId="16" fillId="0" borderId="0" applyFill="0" applyProtection="0"/>
    <xf numFmtId="0" fontId="17" fillId="0" borderId="0" applyProtection="0">
      <alignment vertical="top"/>
    </xf>
    <xf numFmtId="0" fontId="18" fillId="0" borderId="0" applyProtection="0">
      <alignment vertical="top"/>
    </xf>
    <xf numFmtId="0" fontId="19" fillId="0" borderId="0">
      <alignment vertical="center"/>
    </xf>
    <xf numFmtId="0" fontId="20" fillId="0" borderId="0" applyNumberFormat="0" applyFill="0" applyBorder="0" applyAlignment="0" applyProtection="0"/>
    <xf numFmtId="0" fontId="22" fillId="0" borderId="13" applyNumberFormat="0" applyFill="0" applyAlignment="0" applyProtection="0"/>
    <xf numFmtId="0" fontId="23" fillId="0" borderId="0" applyNumberFormat="0" applyFill="0" applyProtection="0"/>
    <xf numFmtId="9" fontId="24" fillId="0" borderId="0" applyFill="0" applyBorder="0" applyAlignment="0" applyProtection="0"/>
    <xf numFmtId="0" fontId="25" fillId="11" borderId="16" applyNumberFormat="0" applyAlignment="0">
      <alignment vertical="center"/>
    </xf>
    <xf numFmtId="0" fontId="26" fillId="0" borderId="0" applyNumberFormat="0" applyFill="0" applyBorder="0" applyProtection="0">
      <alignment horizontal="left" indent="1"/>
    </xf>
    <xf numFmtId="164" fontId="19" fillId="0" borderId="0">
      <alignment vertical="center"/>
    </xf>
    <xf numFmtId="0" fontId="19" fillId="0" borderId="0">
      <alignment vertical="center" wrapText="1"/>
    </xf>
    <xf numFmtId="0" fontId="27" fillId="0" borderId="0" applyNumberFormat="0" applyFill="0" applyBorder="0" applyAlignment="0" applyProtection="0">
      <alignment wrapText="1"/>
    </xf>
  </cellStyleXfs>
  <cellXfs count="72">
    <xf numFmtId="0" fontId="0" fillId="0" borderId="0" xfId="0">
      <alignment wrapText="1"/>
    </xf>
    <xf numFmtId="0" fontId="7" fillId="2" borderId="0" xfId="2" applyFill="1">
      <alignment horizontal="left" vertical="center"/>
    </xf>
    <xf numFmtId="14" fontId="7" fillId="4" borderId="0" xfId="3" applyNumberFormat="1" applyFill="1">
      <alignment horizontal="right" vertical="center"/>
    </xf>
    <xf numFmtId="0" fontId="0" fillId="0" borderId="0" xfId="0" applyFill="1">
      <alignment wrapText="1"/>
    </xf>
    <xf numFmtId="0" fontId="3" fillId="2" borderId="0" xfId="0" applyFont="1" applyFill="1">
      <alignment wrapText="1"/>
    </xf>
    <xf numFmtId="14" fontId="4" fillId="5" borderId="0" xfId="3" applyNumberFormat="1" applyFont="1" applyFill="1">
      <alignment horizontal="right" vertical="center"/>
    </xf>
    <xf numFmtId="0" fontId="5" fillId="6" borderId="0" xfId="0" applyFont="1" applyFill="1">
      <alignment wrapText="1"/>
    </xf>
    <xf numFmtId="0" fontId="3" fillId="6" borderId="0" xfId="0" applyFont="1" applyFill="1">
      <alignment wrapText="1"/>
    </xf>
    <xf numFmtId="0" fontId="0" fillId="0" borderId="2" xfId="0" applyFont="1" applyBorder="1">
      <alignment wrapText="1"/>
    </xf>
    <xf numFmtId="0" fontId="6" fillId="0" borderId="3" xfId="6" applyBorder="1">
      <alignment horizontal="left" vertical="center"/>
    </xf>
    <xf numFmtId="8" fontId="0" fillId="0" borderId="2" xfId="0" applyNumberFormat="1" applyFont="1" applyBorder="1">
      <alignment wrapText="1"/>
    </xf>
    <xf numFmtId="0" fontId="0" fillId="0" borderId="5" xfId="0" applyFont="1" applyBorder="1">
      <alignment wrapText="1"/>
    </xf>
    <xf numFmtId="8" fontId="0" fillId="0" borderId="5" xfId="0" applyNumberFormat="1" applyFont="1" applyBorder="1">
      <alignment wrapText="1"/>
    </xf>
    <xf numFmtId="0" fontId="0" fillId="8" borderId="4" xfId="0" applyFont="1" applyFill="1" applyBorder="1">
      <alignment wrapText="1"/>
    </xf>
    <xf numFmtId="0" fontId="0" fillId="8" borderId="2" xfId="0" applyFont="1" applyFill="1" applyBorder="1">
      <alignment wrapText="1"/>
    </xf>
    <xf numFmtId="8" fontId="0" fillId="8" borderId="4" xfId="0" applyNumberFormat="1" applyFont="1" applyFill="1" applyBorder="1">
      <alignment wrapText="1"/>
    </xf>
    <xf numFmtId="8" fontId="0" fillId="8" borderId="2" xfId="0" applyNumberFormat="1" applyFont="1" applyFill="1" applyBorder="1">
      <alignment wrapText="1"/>
    </xf>
    <xf numFmtId="10" fontId="0" fillId="3" borderId="2" xfId="0" applyNumberFormat="1" applyFont="1" applyFill="1" applyBorder="1">
      <alignment wrapText="1"/>
    </xf>
    <xf numFmtId="0" fontId="9" fillId="0" borderId="0" xfId="5" applyAlignment="1">
      <alignment horizontal="center" vertical="center"/>
    </xf>
    <xf numFmtId="0" fontId="8" fillId="0" borderId="0" xfId="4" applyAlignment="1">
      <alignment horizontal="left" vertical="top"/>
    </xf>
    <xf numFmtId="0" fontId="0" fillId="0" borderId="0" xfId="0" applyAlignment="1">
      <alignment vertical="top"/>
    </xf>
    <xf numFmtId="0" fontId="0" fillId="8" borderId="6" xfId="0" applyFont="1" applyFill="1" applyBorder="1">
      <alignment wrapText="1"/>
    </xf>
    <xf numFmtId="10" fontId="0" fillId="7" borderId="6" xfId="0" applyNumberFormat="1" applyFont="1" applyFill="1" applyBorder="1">
      <alignment wrapText="1"/>
    </xf>
    <xf numFmtId="0" fontId="1" fillId="6" borderId="7" xfId="0" applyFont="1" applyFill="1" applyBorder="1">
      <alignment wrapText="1"/>
    </xf>
    <xf numFmtId="8" fontId="1" fillId="3" borderId="7" xfId="0" applyNumberFormat="1" applyFont="1" applyFill="1" applyBorder="1">
      <alignment wrapText="1"/>
    </xf>
    <xf numFmtId="10" fontId="0" fillId="3" borderId="6" xfId="0" applyNumberFormat="1" applyFont="1" applyFill="1" applyBorder="1">
      <alignment wrapText="1"/>
    </xf>
    <xf numFmtId="0" fontId="0" fillId="0" borderId="0" xfId="0" applyAlignment="1">
      <alignment vertical="center" wrapText="1"/>
    </xf>
    <xf numFmtId="0" fontId="10" fillId="9" borderId="0" xfId="2" applyFont="1" applyFill="1" applyAlignment="1">
      <alignment horizontal="center"/>
    </xf>
    <xf numFmtId="0" fontId="11" fillId="0" borderId="0" xfId="0" applyFont="1" applyAlignment="1">
      <alignment vertical="center" wrapText="1"/>
    </xf>
    <xf numFmtId="0" fontId="3" fillId="0" borderId="0" xfId="0" applyFont="1" applyAlignment="1">
      <alignment vertical="center" wrapText="1"/>
    </xf>
    <xf numFmtId="0" fontId="3" fillId="0" borderId="0" xfId="0" applyFont="1">
      <alignment wrapText="1"/>
    </xf>
    <xf numFmtId="0" fontId="9" fillId="0" borderId="0" xfId="5" applyAlignment="1">
      <alignment horizontal="center" vertical="center"/>
    </xf>
    <xf numFmtId="0" fontId="12" fillId="0" borderId="0" xfId="7"/>
    <xf numFmtId="164" fontId="1" fillId="10" borderId="8" xfId="8">
      <alignment horizontal="center"/>
    </xf>
    <xf numFmtId="0" fontId="13" fillId="0" borderId="0" xfId="9">
      <alignment horizontal="right" vertical="center" indent="1"/>
    </xf>
    <xf numFmtId="0" fontId="12" fillId="0" borderId="9" xfId="10">
      <alignment horizontal="left" vertical="center" wrapText="1"/>
    </xf>
    <xf numFmtId="0" fontId="14" fillId="0" borderId="0" xfId="7" applyFont="1" applyBorder="1" applyAlignment="1">
      <alignment horizontal="center"/>
    </xf>
    <xf numFmtId="7" fontId="1" fillId="0" borderId="10" xfId="11">
      <alignment horizontal="center"/>
    </xf>
    <xf numFmtId="0" fontId="15" fillId="0" borderId="0" xfId="12" applyAlignment="1">
      <alignment horizontal="right"/>
    </xf>
    <xf numFmtId="0" fontId="15" fillId="0" borderId="0" xfId="12">
      <alignment horizontal="right" vertical="center" wrapText="1"/>
    </xf>
    <xf numFmtId="7" fontId="1" fillId="10" borderId="11" xfId="13">
      <alignment horizontal="center"/>
    </xf>
    <xf numFmtId="0" fontId="14" fillId="0" borderId="0" xfId="7" applyFont="1" applyAlignment="1">
      <alignment horizontal="center"/>
    </xf>
    <xf numFmtId="7" fontId="12" fillId="0" borderId="0" xfId="7" applyNumberFormat="1" applyFont="1" applyFill="1" applyBorder="1" applyAlignment="1"/>
    <xf numFmtId="0" fontId="12" fillId="0" borderId="0" xfId="7" applyFont="1" applyFill="1" applyBorder="1"/>
    <xf numFmtId="7" fontId="12" fillId="0" borderId="0" xfId="14">
      <alignment vertical="center"/>
    </xf>
    <xf numFmtId="0" fontId="12" fillId="0" borderId="0" xfId="15">
      <alignment vertical="center" wrapText="1"/>
    </xf>
    <xf numFmtId="14" fontId="12" fillId="0" borderId="0" xfId="16">
      <alignment horizontal="left" vertical="center"/>
    </xf>
    <xf numFmtId="0" fontId="12" fillId="0" borderId="0" xfId="17">
      <alignment vertical="center"/>
    </xf>
    <xf numFmtId="0" fontId="16" fillId="0" borderId="0" xfId="18"/>
    <xf numFmtId="0" fontId="17" fillId="0" borderId="0" xfId="19">
      <alignment vertical="top"/>
    </xf>
    <xf numFmtId="0" fontId="18" fillId="0" borderId="0" xfId="20">
      <alignment vertical="top"/>
    </xf>
    <xf numFmtId="0" fontId="19" fillId="0" borderId="0" xfId="21">
      <alignment vertical="center"/>
    </xf>
    <xf numFmtId="165" fontId="20" fillId="0" borderId="0" xfId="22" applyNumberFormat="1" applyBorder="1" applyAlignment="1">
      <alignment vertical="top"/>
    </xf>
    <xf numFmtId="165" fontId="20" fillId="0" borderId="0" xfId="22" applyNumberFormat="1" applyAlignment="1">
      <alignment vertical="top"/>
    </xf>
    <xf numFmtId="165" fontId="21" fillId="0" borderId="0" xfId="22" applyNumberFormat="1" applyFont="1" applyAlignment="1">
      <alignment vertical="top"/>
    </xf>
    <xf numFmtId="165" fontId="20" fillId="0" borderId="12" xfId="22" applyNumberFormat="1" applyBorder="1" applyAlignment="1">
      <alignment horizontal="left" vertical="top"/>
    </xf>
    <xf numFmtId="0" fontId="22" fillId="0" borderId="14" xfId="23" applyBorder="1" applyAlignment="1">
      <alignment horizontal="left" vertical="center"/>
    </xf>
    <xf numFmtId="0" fontId="19" fillId="0" borderId="0" xfId="21" applyAlignment="1"/>
    <xf numFmtId="0" fontId="23" fillId="0" borderId="0" xfId="24"/>
    <xf numFmtId="9" fontId="24" fillId="0" borderId="15" xfId="25" applyFill="1" applyBorder="1" applyAlignment="1">
      <alignment horizontal="right" vertical="center" indent="1"/>
    </xf>
    <xf numFmtId="0" fontId="0" fillId="11" borderId="17" xfId="26" applyFont="1" applyBorder="1">
      <alignment vertical="center"/>
    </xf>
    <xf numFmtId="0" fontId="0" fillId="11" borderId="18" xfId="26" applyFont="1" applyBorder="1">
      <alignment vertical="center"/>
    </xf>
    <xf numFmtId="0" fontId="0" fillId="11" borderId="19" xfId="26" applyFont="1" applyBorder="1">
      <alignment vertical="center"/>
    </xf>
    <xf numFmtId="0" fontId="19" fillId="0" borderId="0" xfId="21" applyFill="1">
      <alignment vertical="center"/>
    </xf>
    <xf numFmtId="0" fontId="19" fillId="0" borderId="0" xfId="21" applyFill="1" applyBorder="1">
      <alignment vertical="center"/>
    </xf>
    <xf numFmtId="0" fontId="23" fillId="0" borderId="0" xfId="24" applyFill="1" applyBorder="1"/>
    <xf numFmtId="0" fontId="26" fillId="0" borderId="0" xfId="27">
      <alignment horizontal="left" indent="1"/>
    </xf>
    <xf numFmtId="164" fontId="19" fillId="0" borderId="0" xfId="28">
      <alignment vertical="center"/>
    </xf>
    <xf numFmtId="0" fontId="19" fillId="0" borderId="0" xfId="29">
      <alignment vertical="center" wrapText="1"/>
    </xf>
    <xf numFmtId="0" fontId="22" fillId="0" borderId="13" xfId="23" applyAlignment="1">
      <alignment horizontal="right" vertical="center" indent="2"/>
    </xf>
    <xf numFmtId="0" fontId="22" fillId="0" borderId="13" xfId="23" applyAlignment="1">
      <alignment vertical="center"/>
    </xf>
    <xf numFmtId="0" fontId="27" fillId="0" borderId="0" xfId="30">
      <alignment wrapText="1"/>
    </xf>
  </cellXfs>
  <cellStyles count="31">
    <cellStyle name="Advances" xfId="11"/>
    <cellStyle name="Currency 2" xfId="14"/>
    <cellStyle name="Date" xfId="16"/>
    <cellStyle name="Header Row" xfId="17"/>
    <cellStyle name="Heading" xfId="5"/>
    <cellStyle name="Heading 1" xfId="1" builtinId="16" customBuiltin="1"/>
    <cellStyle name="Heading 1 2" xfId="18"/>
    <cellStyle name="Heading 1 3" xfId="24"/>
    <cellStyle name="Heading 2" xfId="2" builtinId="17" customBuiltin="1"/>
    <cellStyle name="Heading 2 2" xfId="12"/>
    <cellStyle name="Heading 2 3" xfId="23"/>
    <cellStyle name="Heading 3" xfId="3" builtinId="18" customBuiltin="1"/>
    <cellStyle name="Heading 3 2" xfId="9"/>
    <cellStyle name="Heading 3 3" xfId="22"/>
    <cellStyle name="Heading 4" xfId="4" builtinId="19" customBuiltin="1"/>
    <cellStyle name="Heading 4 2" xfId="19"/>
    <cellStyle name="Hyperlink" xfId="30" builtinId="8"/>
    <cellStyle name="IncomeSpentBar" xfId="26"/>
    <cellStyle name="Label Text" xfId="10"/>
    <cellStyle name="Normal" xfId="0" builtinId="0" customBuiltin="1"/>
    <cellStyle name="Normal 2" xfId="6"/>
    <cellStyle name="Normal 3" xfId="7"/>
    <cellStyle name="Normal 4" xfId="21"/>
    <cellStyle name="Percent 2" xfId="25"/>
    <cellStyle name="Subtotal" xfId="13"/>
    <cellStyle name="Table Amounts" xfId="28"/>
    <cellStyle name="Table Items" xfId="29"/>
    <cellStyle name="Table Text" xfId="15"/>
    <cellStyle name="Title 2" xfId="20"/>
    <cellStyle name="Title 3" xfId="27"/>
    <cellStyle name="Total 2" xfId="8"/>
  </cellStyles>
  <dxfs count="52">
    <dxf>
      <font>
        <b val="0"/>
        <i/>
        <color theme="4" tint="-0.24994659260841701"/>
      </font>
      <border>
        <top style="medium">
          <color theme="2" tint="-9.9948118533890809E-2"/>
        </top>
        <bottom style="medium">
          <color theme="2" tint="-9.9948118533890809E-2"/>
        </bottom>
      </border>
    </dxf>
    <dxf>
      <font>
        <color theme="3"/>
      </font>
    </dxf>
    <dxf>
      <font>
        <b val="0"/>
        <i/>
        <color theme="4" tint="-0.24994659260841701"/>
      </font>
      <border>
        <top style="medium">
          <color theme="2" tint="-9.9948118533890809E-2"/>
        </top>
        <bottom style="medium">
          <color theme="2" tint="-9.9948118533890809E-2"/>
        </bottom>
      </border>
    </dxf>
    <dxf>
      <font>
        <color theme="3"/>
      </font>
    </dxf>
    <dxf>
      <numFmt numFmtId="165" formatCode="&quot;$&quot;#,##0"/>
      <alignment horizontal="left" vertical="top" textRotation="0" wrapText="0" indent="0" justifyLastLine="0" shrinkToFit="0" readingOrder="0"/>
      <border diagonalUp="0" diagonalDown="0">
        <left/>
        <right/>
        <top style="medium">
          <color theme="2" tint="-9.9948118533890809E-2"/>
        </top>
        <bottom/>
        <vertical/>
        <horizontal/>
      </border>
    </dxf>
    <dxf>
      <numFmt numFmtId="165" formatCode="&quot;$&quot;#,##0"/>
      <alignment horizontal="left" vertical="top" textRotation="0" wrapText="0" indent="0" justifyLastLine="0" shrinkToFit="0" readingOrder="0"/>
      <border diagonalUp="0" diagonalDown="0">
        <left/>
        <right/>
        <top style="medium">
          <color theme="2" tint="-9.9948118533890809E-2"/>
        </top>
        <bottom/>
        <vertical/>
        <horizontal/>
      </border>
    </dxf>
    <dxf>
      <numFmt numFmtId="165" formatCode="&quot;$&quot;#,##0"/>
      <alignment horizontal="left" vertical="top" textRotation="0" wrapText="0" indent="0" justifyLastLine="0" shrinkToFit="0" readingOrder="0"/>
      <border diagonalUp="0" diagonalDown="0">
        <left/>
        <right/>
        <top style="medium">
          <color theme="2" tint="-9.9948118533890809E-2"/>
        </top>
        <bottom/>
        <vertical/>
        <horizontal/>
      </border>
    </dxf>
    <dxf>
      <border outline="0">
        <top style="medium">
          <color theme="2" tint="-9.9948118533890809E-2"/>
        </top>
      </border>
    </dxf>
    <dxf>
      <border outline="0">
        <bottom style="medium">
          <color theme="2" tint="-9.9948118533890809E-2"/>
        </bottom>
      </border>
    </dxf>
    <dxf>
      <border outline="0">
        <top style="medium">
          <color theme="2" tint="-9.9948118533890809E-2"/>
        </top>
      </border>
    </dxf>
    <dxf>
      <alignment horizontal="left" vertical="top" textRotation="0" wrapText="0" indent="0" justifyLastLine="0" shrinkToFit="0" readingOrder="0"/>
    </dxf>
    <dxf>
      <alignment horizontal="left" vertical="center" textRotation="0" wrapText="0" indent="0" justifyLastLine="0" shrinkToFit="0" readingOrder="0"/>
    </dxf>
    <dxf>
      <font>
        <b val="0"/>
        <i/>
        <color theme="4" tint="-0.24994659260841701"/>
      </font>
      <border>
        <top style="medium">
          <color theme="2" tint="-9.9948118533890809E-2"/>
        </top>
        <bottom style="medium">
          <color theme="2" tint="-9.9948118533890809E-2"/>
        </bottom>
      </border>
    </dxf>
    <dxf>
      <font>
        <color theme="3"/>
      </font>
    </dxf>
    <dxf>
      <font>
        <b val="0"/>
        <i val="0"/>
        <strike val="0"/>
        <condense val="0"/>
        <extend val="0"/>
        <outline val="0"/>
        <shadow val="0"/>
        <u val="none"/>
        <vertAlign val="baseline"/>
        <sz val="11"/>
        <color theme="1" tint="0.24994659260841701"/>
        <name val="Calibri"/>
        <family val="2"/>
        <scheme val="minor"/>
      </font>
      <numFmt numFmtId="11" formatCode="&quot;$&quot;#,##0.00_);\(&quot;$&quot;#,##0.00\)"/>
      <fill>
        <patternFill patternType="none">
          <fgColor indexed="64"/>
          <bgColor indexed="65"/>
        </patternFill>
      </fill>
      <alignment horizontal="general"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theme="1" tint="0.24994659260841701"/>
        <name val="Calibri"/>
        <family val="2"/>
        <scheme val="minor"/>
      </font>
      <numFmt numFmtId="11" formatCode="&quot;$&quot;#,##0.00_);\(&quot;$&quot;#,##0.00\)"/>
      <fill>
        <patternFill patternType="none">
          <fgColor indexed="64"/>
          <bgColor indexed="65"/>
        </patternFill>
      </fill>
      <alignment horizontal="general"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theme="1" tint="0.24994659260841701"/>
        <name val="Calibri"/>
        <family val="2"/>
        <scheme val="minor"/>
      </font>
      <numFmt numFmtId="11" formatCode="&quot;$&quot;#,##0.00_);\(&quot;$&quot;#,##0.00\)"/>
      <fill>
        <patternFill patternType="none">
          <fgColor indexed="64"/>
          <bgColor indexed="65"/>
        </patternFill>
      </fill>
      <alignment horizontal="general"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theme="1" tint="0.24994659260841701"/>
        <name val="Calibri"/>
        <family val="2"/>
        <scheme val="minor"/>
      </font>
      <numFmt numFmtId="11" formatCode="&quot;$&quot;#,##0.00_);\(&quot;$&quot;#,##0.00\)"/>
      <fill>
        <patternFill patternType="none">
          <fgColor indexed="64"/>
          <bgColor indexed="65"/>
        </patternFill>
      </fill>
      <alignment horizontal="general"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theme="1" tint="0.24994659260841701"/>
        <name val="Calibri"/>
        <family val="2"/>
        <scheme val="minor"/>
      </font>
      <numFmt numFmtId="11" formatCode="&quot;$&quot;#,##0.00_);\(&quot;$&quot;#,##0.00\)"/>
      <fill>
        <patternFill patternType="none">
          <fgColor indexed="64"/>
          <bgColor indexed="65"/>
        </patternFill>
      </fill>
      <alignment horizontal="general"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theme="1" tint="0.24994659260841701"/>
        <name val="Calibri"/>
        <family val="2"/>
        <scheme val="minor"/>
      </font>
      <numFmt numFmtId="11" formatCode="&quot;$&quot;#,##0.00_);\(&quot;$&quot;#,##0.00\)"/>
      <fill>
        <patternFill patternType="none">
          <fgColor indexed="64"/>
          <bgColor indexed="65"/>
        </patternFill>
      </fill>
      <alignment horizontal="general"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theme="1" tint="0.24994659260841701"/>
        <name val="Calibri"/>
        <family val="2"/>
        <scheme val="minor"/>
      </font>
      <numFmt numFmtId="11" formatCode="&quot;$&quot;#,##0.00_);\(&quot;$&quot;#,##0.00\)"/>
      <fill>
        <patternFill patternType="none">
          <fgColor indexed="64"/>
          <bgColor indexed="65"/>
        </patternFill>
      </fill>
      <alignment horizontal="general"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theme="1" tint="0.24994659260841701"/>
        <name val="Calibri"/>
        <family val="2"/>
        <scheme val="minor"/>
      </font>
      <numFmt numFmtId="11" formatCode="&quot;$&quot;#,##0.00_);\(&quot;$&quot;#,##0.00\)"/>
      <fill>
        <patternFill patternType="none">
          <fgColor indexed="64"/>
          <bgColor indexed="65"/>
        </patternFill>
      </fill>
      <alignment horizontal="general"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theme="1" tint="0.24994659260841701"/>
        <name val="Calibri"/>
        <family val="2"/>
        <scheme val="minor"/>
      </font>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1"/>
        <color theme="1" tint="0.24994659260841701"/>
        <name val="Calibri"/>
        <family val="2"/>
        <scheme val="minor"/>
      </font>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1"/>
        <color theme="1" tint="0.2499465926084170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1"/>
        <color theme="1" tint="0.24994659260841701"/>
        <name val="Calibri"/>
        <family val="2"/>
        <scheme val="minor"/>
      </font>
    </dxf>
    <dxf>
      <alignment horizontal="general" vertical="bottom" textRotation="0" indent="0" justifyLastLine="0" shrinkToFit="0" readingOrder="0"/>
    </dxf>
    <dxf>
      <font>
        <b val="0"/>
        <i val="0"/>
        <strike val="0"/>
        <condense val="0"/>
        <extend val="0"/>
        <outline val="0"/>
        <shadow val="0"/>
        <u val="none"/>
        <vertAlign val="baseline"/>
        <sz val="11"/>
        <color auto="1"/>
        <name val="Calibri"/>
        <family val="2"/>
        <scheme val="minor"/>
      </font>
      <numFmt numFmtId="14" formatCode="0.00%"/>
      <fill>
        <patternFill patternType="solid">
          <fgColor indexed="64"/>
          <bgColor theme="5" tint="0.79998168889431442"/>
        </patternFill>
      </fill>
      <border diagonalUp="0" diagonalDown="0" outline="0">
        <left style="medium">
          <color theme="0"/>
        </left>
        <right style="medium">
          <color theme="0"/>
        </right>
        <top style="medium">
          <color theme="0"/>
        </top>
        <bottom/>
      </border>
    </dxf>
    <dxf>
      <font>
        <b val="0"/>
        <i val="0"/>
        <strike val="0"/>
        <condense val="0"/>
        <extend val="0"/>
        <outline val="0"/>
        <shadow val="0"/>
        <u val="none"/>
        <vertAlign val="baseline"/>
        <sz val="11"/>
        <color auto="1"/>
        <name val="Calibri"/>
        <family val="2"/>
        <scheme val="minor"/>
      </font>
      <numFmt numFmtId="14" formatCode="0.00%"/>
      <fill>
        <patternFill patternType="solid">
          <fgColor indexed="64"/>
          <bgColor theme="5" tint="0.79998168889431442"/>
        </patternFill>
      </fill>
      <border diagonalUp="0" diagonalDown="0" outline="0">
        <left style="medium">
          <color theme="0"/>
        </left>
        <right style="medium">
          <color theme="0"/>
        </right>
        <top style="medium">
          <color theme="0"/>
        </top>
        <bottom/>
      </border>
    </dxf>
    <dxf>
      <font>
        <b val="0"/>
        <i val="0"/>
        <strike val="0"/>
        <condense val="0"/>
        <extend val="0"/>
        <outline val="0"/>
        <shadow val="0"/>
        <u val="none"/>
        <vertAlign val="baseline"/>
        <sz val="11"/>
        <color auto="1"/>
        <name val="Calibri"/>
        <family val="2"/>
        <scheme val="minor"/>
      </font>
      <numFmt numFmtId="14" formatCode="0.00%"/>
      <fill>
        <patternFill patternType="solid">
          <fgColor indexed="64"/>
          <bgColor theme="5" tint="0.79998168889431442"/>
        </patternFill>
      </fill>
      <border diagonalUp="0" diagonalDown="0" outline="0">
        <left style="medium">
          <color theme="0"/>
        </left>
        <right style="medium">
          <color theme="0"/>
        </right>
        <top style="medium">
          <color theme="0"/>
        </top>
        <bottom/>
      </border>
    </dxf>
    <dxf>
      <font>
        <b val="0"/>
        <i val="0"/>
        <strike val="0"/>
        <condense val="0"/>
        <extend val="0"/>
        <outline val="0"/>
        <shadow val="0"/>
        <u val="none"/>
        <vertAlign val="baseline"/>
        <sz val="11"/>
        <color auto="1"/>
        <name val="Calibri"/>
        <family val="2"/>
        <scheme val="minor"/>
      </font>
      <fill>
        <patternFill patternType="solid">
          <fgColor theme="8" tint="0.79998168889431442"/>
          <bgColor theme="0" tint="-0.14999847407452621"/>
        </patternFill>
      </fill>
      <border diagonalUp="0" diagonalDown="0" outline="0">
        <left style="medium">
          <color theme="0"/>
        </left>
        <right style="medium">
          <color theme="0"/>
        </right>
        <top style="medium">
          <color theme="0"/>
        </top>
        <bottom/>
      </border>
    </dxf>
    <dxf>
      <border outline="0">
        <bottom style="medium">
          <color theme="0"/>
        </bottom>
      </border>
    </dxf>
    <dxf>
      <border outline="0">
        <bottom style="medium">
          <color theme="5"/>
        </bottom>
      </border>
    </dxf>
    <dxf>
      <font>
        <b val="0"/>
        <i val="0"/>
        <strike val="0"/>
        <condense val="0"/>
        <extend val="0"/>
        <outline val="0"/>
        <shadow val="0"/>
        <u val="none"/>
        <vertAlign val="baseline"/>
        <sz val="11"/>
        <color auto="1"/>
        <name val="Calibri"/>
        <family val="2"/>
        <scheme val="minor"/>
      </font>
      <numFmt numFmtId="14" formatCode="0.00%"/>
      <fill>
        <patternFill patternType="solid">
          <fgColor indexed="64"/>
          <bgColor theme="5" tint="0.79998168889431442"/>
        </patternFill>
      </fill>
      <border diagonalUp="0" diagonalDown="0" outline="0">
        <left style="medium">
          <color theme="0"/>
        </left>
        <right style="medium">
          <color theme="0"/>
        </right>
        <top style="medium">
          <color theme="0"/>
        </top>
        <bottom/>
      </border>
    </dxf>
    <dxf>
      <font>
        <b val="0"/>
        <i val="0"/>
        <strike val="0"/>
        <condense val="0"/>
        <extend val="0"/>
        <outline val="0"/>
        <shadow val="0"/>
        <u val="none"/>
        <vertAlign val="baseline"/>
        <sz val="11"/>
        <color auto="1"/>
        <name val="Calibri"/>
        <family val="2"/>
        <scheme val="minor"/>
      </font>
      <numFmt numFmtId="14" formatCode="0.00%"/>
      <fill>
        <patternFill patternType="solid">
          <fgColor indexed="64"/>
          <bgColor theme="5" tint="0.79998168889431442"/>
        </patternFill>
      </fill>
      <border diagonalUp="0" diagonalDown="0" outline="0">
        <left style="medium">
          <color theme="0"/>
        </left>
        <right style="medium">
          <color theme="0"/>
        </right>
        <top style="medium">
          <color theme="0"/>
        </top>
        <bottom/>
      </border>
    </dxf>
    <dxf>
      <font>
        <b val="0"/>
        <i val="0"/>
        <strike val="0"/>
        <condense val="0"/>
        <extend val="0"/>
        <outline val="0"/>
        <shadow val="0"/>
        <u val="none"/>
        <vertAlign val="baseline"/>
        <sz val="11"/>
        <color auto="1"/>
        <name val="Calibri"/>
        <family val="2"/>
        <scheme val="minor"/>
      </font>
      <numFmt numFmtId="14" formatCode="0.00%"/>
      <fill>
        <patternFill patternType="solid">
          <fgColor indexed="64"/>
          <bgColor theme="5" tint="0.79998168889431442"/>
        </patternFill>
      </fill>
      <border diagonalUp="0" diagonalDown="0" outline="0">
        <left style="medium">
          <color theme="0"/>
        </left>
        <right style="medium">
          <color theme="0"/>
        </right>
        <top style="medium">
          <color theme="0"/>
        </top>
        <bottom/>
      </border>
    </dxf>
    <dxf>
      <font>
        <b val="0"/>
        <i val="0"/>
        <strike val="0"/>
        <condense val="0"/>
        <extend val="0"/>
        <outline val="0"/>
        <shadow val="0"/>
        <u val="none"/>
        <vertAlign val="baseline"/>
        <sz val="11"/>
        <color auto="1"/>
        <name val="Calibri"/>
        <family val="2"/>
        <scheme val="minor"/>
      </font>
      <fill>
        <patternFill patternType="solid">
          <fgColor theme="8" tint="0.79998168889431442"/>
          <bgColor theme="0" tint="-0.14999847407452621"/>
        </patternFill>
      </fill>
      <border diagonalUp="0" diagonalDown="0" outline="0">
        <left style="medium">
          <color theme="0"/>
        </left>
        <right style="medium">
          <color theme="0"/>
        </right>
        <top style="medium">
          <color theme="0"/>
        </top>
        <bottom/>
      </border>
    </dxf>
    <dxf>
      <font>
        <b val="0"/>
        <i val="0"/>
        <strike val="0"/>
        <condense val="0"/>
        <extend val="0"/>
        <outline val="0"/>
        <shadow val="0"/>
        <u val="none"/>
        <vertAlign val="baseline"/>
        <sz val="11"/>
        <color auto="1"/>
        <name val="Calibri"/>
        <family val="2"/>
        <scheme val="minor"/>
      </font>
      <fill>
        <patternFill patternType="solid">
          <fgColor theme="8" tint="0.79998168889431442"/>
          <bgColor theme="0" tint="-0.14999847407452621"/>
        </patternFill>
      </fill>
      <border diagonalUp="0" diagonalDown="0">
        <left style="medium">
          <color theme="0"/>
        </left>
        <right style="medium">
          <color theme="0"/>
        </right>
        <top style="medium">
          <color theme="0"/>
        </top>
        <bottom style="medium">
          <color theme="0"/>
        </bottom>
        <vertical/>
        <horizontal/>
      </border>
    </dxf>
    <dxf>
      <border outline="0">
        <bottom style="medium">
          <color theme="0"/>
        </bottom>
      </border>
    </dxf>
    <dxf>
      <border outline="0">
        <bottom style="medium">
          <color theme="5"/>
        </bottom>
      </border>
    </dxf>
    <dxf>
      <font>
        <b/>
        <i val="0"/>
        <strike val="0"/>
        <condense val="0"/>
        <extend val="0"/>
        <outline val="0"/>
        <shadow val="0"/>
        <u val="none"/>
        <vertAlign val="baseline"/>
        <sz val="11"/>
        <color theme="1"/>
        <name val="Calibri"/>
        <family val="2"/>
        <scheme val="minor"/>
      </font>
      <numFmt numFmtId="12" formatCode="&quot;$&quot;#,##0.00_);[Red]\(&quot;$&quot;#,##0.00\)"/>
      <fill>
        <patternFill patternType="solid">
          <fgColor indexed="64"/>
          <bgColor theme="5" tint="0.79998168889431442"/>
        </patternFill>
      </fill>
      <border diagonalUp="0" diagonalDown="0" outline="0">
        <left style="medium">
          <color theme="0"/>
        </left>
        <right style="medium">
          <color theme="0"/>
        </right>
        <top/>
        <bottom/>
      </border>
    </dxf>
    <dxf>
      <font>
        <b/>
        <i val="0"/>
        <strike val="0"/>
        <condense val="0"/>
        <extend val="0"/>
        <outline val="0"/>
        <shadow val="0"/>
        <u val="none"/>
        <vertAlign val="baseline"/>
        <sz val="11"/>
        <color theme="1"/>
        <name val="Calibri"/>
        <family val="2"/>
        <scheme val="minor"/>
      </font>
      <numFmt numFmtId="12" formatCode="&quot;$&quot;#,##0.00_);[Red]\(&quot;$&quot;#,##0.00\)"/>
      <fill>
        <patternFill patternType="solid">
          <fgColor indexed="64"/>
          <bgColor theme="5" tint="0.79998168889431442"/>
        </patternFill>
      </fill>
      <border diagonalUp="0" diagonalDown="0" outline="0">
        <left style="medium">
          <color theme="0"/>
        </left>
        <right style="medium">
          <color theme="0"/>
        </right>
        <top/>
        <bottom/>
      </border>
    </dxf>
    <dxf>
      <font>
        <b/>
        <i val="0"/>
        <strike val="0"/>
        <condense val="0"/>
        <extend val="0"/>
        <outline val="0"/>
        <shadow val="0"/>
        <u val="none"/>
        <vertAlign val="baseline"/>
        <sz val="11"/>
        <color theme="1"/>
        <name val="Calibri"/>
        <family val="2"/>
        <scheme val="minor"/>
      </font>
      <numFmt numFmtId="12" formatCode="&quot;$&quot;#,##0.00_);[Red]\(&quot;$&quot;#,##0.00\)"/>
      <fill>
        <patternFill patternType="solid">
          <fgColor indexed="64"/>
          <bgColor theme="5" tint="0.79998168889431442"/>
        </patternFill>
      </fill>
      <border diagonalUp="0" diagonalDown="0" outline="0">
        <left style="medium">
          <color theme="0"/>
        </left>
        <right style="medium">
          <color theme="0"/>
        </right>
        <top/>
        <bottom/>
      </border>
    </dxf>
    <dxf>
      <font>
        <b/>
        <i val="0"/>
        <strike val="0"/>
        <condense val="0"/>
        <extend val="0"/>
        <outline val="0"/>
        <shadow val="0"/>
        <u val="none"/>
        <vertAlign val="baseline"/>
        <sz val="11"/>
        <color theme="1"/>
        <name val="Calibri"/>
        <family val="2"/>
        <scheme val="minor"/>
      </font>
      <fill>
        <patternFill patternType="solid">
          <fgColor indexed="64"/>
          <bgColor theme="0" tint="-0.14999847407452621"/>
        </patternFill>
      </fill>
      <border diagonalUp="0" diagonalDown="0" outline="0">
        <left style="medium">
          <color theme="0"/>
        </left>
        <right style="medium">
          <color theme="0"/>
        </right>
        <top/>
        <bottom/>
      </border>
    </dxf>
    <dxf>
      <border outline="0">
        <bottom style="medium">
          <color theme="0"/>
        </bottom>
      </border>
    </dxf>
    <dxf>
      <border outline="0">
        <bottom style="medium">
          <color theme="5"/>
        </bottom>
      </border>
    </dxf>
    <dxf>
      <font>
        <b val="0"/>
        <i val="0"/>
        <strike val="0"/>
        <condense val="0"/>
        <extend val="0"/>
        <outline val="0"/>
        <shadow val="0"/>
        <u val="none"/>
        <vertAlign val="baseline"/>
        <sz val="11"/>
        <color auto="1"/>
        <name val="Calibri"/>
        <family val="2"/>
        <scheme val="minor"/>
      </font>
      <numFmt numFmtId="14" formatCode="0.00%"/>
      <fill>
        <patternFill patternType="solid">
          <fgColor theme="8" tint="0.79998168889431442"/>
          <bgColor theme="5" tint="0.79998168889431442"/>
        </patternFill>
      </fill>
      <border diagonalUp="0" diagonalDown="0" outline="0">
        <left style="medium">
          <color theme="0"/>
        </left>
        <right style="medium">
          <color theme="0"/>
        </right>
        <top style="medium">
          <color theme="0"/>
        </top>
        <bottom/>
      </border>
    </dxf>
    <dxf>
      <font>
        <b val="0"/>
        <i val="0"/>
        <strike val="0"/>
        <condense val="0"/>
        <extend val="0"/>
        <outline val="0"/>
        <shadow val="0"/>
        <u val="none"/>
        <vertAlign val="baseline"/>
        <sz val="11"/>
        <color auto="1"/>
        <name val="Calibri"/>
        <family val="2"/>
        <scheme val="minor"/>
      </font>
      <numFmt numFmtId="14" formatCode="0.00%"/>
      <fill>
        <patternFill patternType="solid">
          <fgColor theme="8" tint="0.79998168889431442"/>
          <bgColor theme="5" tint="0.79998168889431442"/>
        </patternFill>
      </fill>
      <border diagonalUp="0" diagonalDown="0" outline="0">
        <left style="medium">
          <color theme="0"/>
        </left>
        <right style="medium">
          <color theme="0"/>
        </right>
        <top style="medium">
          <color theme="0"/>
        </top>
        <bottom/>
      </border>
    </dxf>
    <dxf>
      <font>
        <b val="0"/>
        <i val="0"/>
        <strike val="0"/>
        <condense val="0"/>
        <extend val="0"/>
        <outline val="0"/>
        <shadow val="0"/>
        <u val="none"/>
        <vertAlign val="baseline"/>
        <sz val="11"/>
        <color auto="1"/>
        <name val="Calibri"/>
        <family val="2"/>
        <scheme val="minor"/>
      </font>
      <numFmt numFmtId="14" formatCode="0.00%"/>
      <fill>
        <patternFill patternType="solid">
          <fgColor theme="8" tint="0.79998168889431442"/>
          <bgColor theme="5" tint="0.79998168889431442"/>
        </patternFill>
      </fill>
      <border diagonalUp="0" diagonalDown="0" outline="0">
        <left style="medium">
          <color theme="0"/>
        </left>
        <right style="medium">
          <color theme="0"/>
        </right>
        <top style="medium">
          <color theme="0"/>
        </top>
        <bottom/>
      </border>
    </dxf>
    <dxf>
      <font>
        <b val="0"/>
        <i val="0"/>
        <strike val="0"/>
        <condense val="0"/>
        <extend val="0"/>
        <outline val="0"/>
        <shadow val="0"/>
        <u val="none"/>
        <vertAlign val="baseline"/>
        <sz val="11"/>
        <color auto="1"/>
        <name val="Calibri"/>
        <family val="2"/>
        <scheme val="minor"/>
      </font>
      <fill>
        <patternFill patternType="solid">
          <fgColor theme="8" tint="0.79998168889431442"/>
          <bgColor theme="0" tint="-0.14999847407452621"/>
        </patternFill>
      </fill>
      <border diagonalUp="0" diagonalDown="0" outline="0">
        <left style="medium">
          <color theme="0"/>
        </left>
        <right style="medium">
          <color theme="0"/>
        </right>
        <top style="medium">
          <color theme="0"/>
        </top>
        <bottom/>
      </border>
    </dxf>
    <dxf>
      <border outline="0">
        <bottom style="medium">
          <color theme="0"/>
        </bottom>
      </border>
    </dxf>
    <dxf>
      <border outline="0">
        <bottom style="medium">
          <color theme="5"/>
        </bottom>
      </border>
    </dxf>
  </dxfs>
  <tableStyles count="3" defaultTableStyle="TableStyleMedium2" defaultPivotStyle="PivotStyleLight16">
    <tableStyle name="Simple Monthly Budget" pivot="0" count="2">
      <tableStyleElement type="wholeTable" dxfId="13"/>
      <tableStyleElement type="headerRow" dxfId="12"/>
    </tableStyle>
    <tableStyle name="Simple Monthly Budget 2" pivot="0" count="2">
      <tableStyleElement type="wholeTable" dxfId="3"/>
      <tableStyleElement type="headerRow" dxfId="2"/>
    </tableStyle>
    <tableStyle name="Simple Monthly Budget 3" pivot="0" count="2">
      <tableStyleElement type="wholeTable" dxfId="1"/>
      <tableStyleElement type="headerRow" dxfId="0"/>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v>ChartData</c:v>
          </c:tx>
          <c:invertIfNegative val="0"/>
          <c:dPt>
            <c:idx val="0"/>
            <c:invertIfNegative val="0"/>
            <c:bubble3D val="0"/>
            <c:spPr>
              <a:solidFill>
                <a:schemeClr val="accent1">
                  <a:lumMod val="50000"/>
                </a:schemeClr>
              </a:solidFill>
            </c:spPr>
            <c:extLst>
              <c:ext xmlns:c16="http://schemas.microsoft.com/office/drawing/2014/chart" uri="{C3380CC4-5D6E-409C-BE32-E72D297353CC}">
                <c16:uniqueId val="{00000001-5E5A-458B-9F00-569AC98B3B00}"/>
              </c:ext>
            </c:extLst>
          </c:dPt>
          <c:dPt>
            <c:idx val="1"/>
            <c:invertIfNegative val="0"/>
            <c:bubble3D val="0"/>
            <c:spPr>
              <a:solidFill>
                <a:schemeClr val="accent2">
                  <a:lumMod val="75000"/>
                </a:schemeClr>
              </a:solidFill>
            </c:spPr>
            <c:extLst>
              <c:ext xmlns:c16="http://schemas.microsoft.com/office/drawing/2014/chart" uri="{C3380CC4-5D6E-409C-BE32-E72D297353CC}">
                <c16:uniqueId val="{00000003-5E5A-458B-9F00-569AC98B3B00}"/>
              </c:ext>
            </c:extLst>
          </c:dPt>
          <c:dLbls>
            <c:spPr>
              <a:noFill/>
              <a:ln>
                <a:noFill/>
              </a:ln>
              <a:effectLst/>
            </c:spPr>
            <c:txPr>
              <a:bodyPr/>
              <a:lstStyle/>
              <a:p>
                <a:pPr>
                  <a:defRPr sz="1100">
                    <a:latin typeface="+mn-lt"/>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2"/>
              <c:pt idx="0">
                <c:v>Income</c:v>
              </c:pt>
              <c:pt idx="1">
                <c:v>Expenses</c:v>
              </c:pt>
            </c:strLit>
          </c:cat>
          <c:val>
            <c:numRef>
              <c:f>Summary!$B$6:$C$6</c:f>
              <c:numCache>
                <c:formatCode>"$"#,##0</c:formatCode>
                <c:ptCount val="2"/>
                <c:pt idx="0">
                  <c:v>3750</c:v>
                </c:pt>
                <c:pt idx="1">
                  <c:v>2336</c:v>
                </c:pt>
              </c:numCache>
            </c:numRef>
          </c:val>
          <c:extLst>
            <c:ext xmlns:c16="http://schemas.microsoft.com/office/drawing/2014/chart" uri="{C3380CC4-5D6E-409C-BE32-E72D297353CC}">
              <c16:uniqueId val="{00000004-5E5A-458B-9F00-569AC98B3B00}"/>
            </c:ext>
          </c:extLst>
        </c:ser>
        <c:dLbls>
          <c:dLblPos val="outEnd"/>
          <c:showLegendKey val="0"/>
          <c:showVal val="1"/>
          <c:showCatName val="0"/>
          <c:showSerName val="0"/>
          <c:showPercent val="0"/>
          <c:showBubbleSize val="0"/>
        </c:dLbls>
        <c:gapWidth val="37"/>
        <c:axId val="406999952"/>
        <c:axId val="406999560"/>
      </c:barChart>
      <c:catAx>
        <c:axId val="406999952"/>
        <c:scaling>
          <c:orientation val="minMax"/>
        </c:scaling>
        <c:delete val="0"/>
        <c:axPos val="b"/>
        <c:numFmt formatCode="General" sourceLinked="0"/>
        <c:majorTickMark val="out"/>
        <c:minorTickMark val="none"/>
        <c:tickLblPos val="nextTo"/>
        <c:spPr>
          <a:ln>
            <a:solidFill>
              <a:schemeClr val="tx2">
                <a:lumMod val="60000"/>
                <a:lumOff val="40000"/>
              </a:schemeClr>
            </a:solidFill>
          </a:ln>
        </c:spPr>
        <c:txPr>
          <a:bodyPr/>
          <a:lstStyle/>
          <a:p>
            <a:pPr>
              <a:defRPr sz="1100">
                <a:latin typeface="+mn-lt"/>
              </a:defRPr>
            </a:pPr>
            <a:endParaRPr lang="en-US"/>
          </a:p>
        </c:txPr>
        <c:crossAx val="406999560"/>
        <c:crosses val="autoZero"/>
        <c:auto val="1"/>
        <c:lblAlgn val="ctr"/>
        <c:lblOffset val="100"/>
        <c:noMultiLvlLbl val="0"/>
      </c:catAx>
      <c:valAx>
        <c:axId val="406999560"/>
        <c:scaling>
          <c:orientation val="minMax"/>
          <c:min val="0"/>
        </c:scaling>
        <c:delete val="0"/>
        <c:axPos val="l"/>
        <c:numFmt formatCode="&quot;$&quot;#,##0" sourceLinked="0"/>
        <c:majorTickMark val="out"/>
        <c:minorTickMark val="none"/>
        <c:tickLblPos val="nextTo"/>
        <c:spPr>
          <a:ln>
            <a:solidFill>
              <a:schemeClr val="tx2">
                <a:lumMod val="60000"/>
                <a:lumOff val="40000"/>
              </a:schemeClr>
            </a:solidFill>
          </a:ln>
        </c:spPr>
        <c:txPr>
          <a:bodyPr/>
          <a:lstStyle/>
          <a:p>
            <a:pPr>
              <a:defRPr sz="1100"/>
            </a:pPr>
            <a:endParaRPr lang="en-US"/>
          </a:p>
        </c:txPr>
        <c:crossAx val="406999952"/>
        <c:crosses val="autoZero"/>
        <c:crossBetween val="between"/>
        <c:minorUnit val="500"/>
      </c:valAx>
      <c:spPr>
        <a:noFill/>
      </c:spPr>
    </c:plotArea>
    <c:plotVisOnly val="1"/>
    <c:dispBlanksAs val="gap"/>
    <c:showDLblsOverMax val="0"/>
  </c:chart>
  <c:spPr>
    <a:noFill/>
    <a:ln>
      <a:noFill/>
    </a:ln>
  </c:spPr>
  <c:txPr>
    <a:bodyPr/>
    <a:lstStyle/>
    <a:p>
      <a:pPr>
        <a:defRPr>
          <a:solidFill>
            <a:schemeClr val="tx2"/>
          </a:solidFill>
          <a:latin typeface="+mj-lt"/>
        </a:defRPr>
      </a:pPr>
      <a:endParaRPr lang="en-US"/>
    </a:p>
  </c:txPr>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oneCellAnchor>
    <xdr:from>
      <xdr:col>1</xdr:col>
      <xdr:colOff>57150</xdr:colOff>
      <xdr:row>6</xdr:row>
      <xdr:rowOff>328613</xdr:rowOff>
    </xdr:from>
    <xdr:ext cx="5829300" cy="3376612"/>
    <xdr:graphicFrame macro="">
      <xdr:nvGraphicFramePr>
        <xdr:cNvPr id="2" name="IncomeAndExpenses" descr="Column chart comparing Total Monthly Income to Total Montly Expenses">
          <a:extLst>
            <a:ext uri="{FF2B5EF4-FFF2-40B4-BE49-F238E27FC236}">
              <a16:creationId xmlns:a16="http://schemas.microsoft.com/office/drawing/2014/main" id="{A5A6A367-9560-49F8-A4E2-091FEC523B0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oneCellAnchor>
</xdr:wsDr>
</file>

<file path=xl/tables/table1.xml><?xml version="1.0" encoding="utf-8"?>
<table xmlns="http://schemas.openxmlformats.org/spreadsheetml/2006/main" id="8" name="Expense" displayName="Expense" ref="B3:C16">
  <autoFilter ref="B3:C16"/>
  <tableColumns count="2">
    <tableColumn id="1" name="Item" totalsRowLabel="Total" dataCellStyle="Table Items"/>
    <tableColumn id="2" name="Amount" totalsRowFunction="sum" dataCellStyle="Table Amounts"/>
  </tableColumns>
  <tableStyleInfo name="Simple Monthly Budget" showFirstColumn="0" showLastColumn="0" showRowStripes="1" showColumnStripes="0"/>
  <extLst>
    <ext xmlns:x14="http://schemas.microsoft.com/office/spreadsheetml/2009/9/main" uri="{504A1905-F514-4f6f-8877-14C23A59335A}">
      <x14:table altTextSummary="List of monthly expense items and amounts"/>
    </ext>
  </extLst>
</table>
</file>

<file path=xl/tables/table2.xml><?xml version="1.0" encoding="utf-8"?>
<table xmlns="http://schemas.openxmlformats.org/spreadsheetml/2006/main" id="7" name="Income" displayName="Income" ref="B3:C6">
  <autoFilter ref="B3:C6"/>
  <tableColumns count="2">
    <tableColumn id="1" name="Item" totalsRowLabel="Total" dataCellStyle="Table Items"/>
    <tableColumn id="2" name="Amount" totalsRowFunction="sum" dataCellStyle="Table Amounts"/>
  </tableColumns>
  <tableStyleInfo name="Simple Monthly Budget" showFirstColumn="0" showLastColumn="0" showRowStripes="1" showColumnStripes="0"/>
  <extLst>
    <ext xmlns:x14="http://schemas.microsoft.com/office/spreadsheetml/2009/9/main" uri="{504A1905-F514-4f6f-8877-14C23A59335A}">
      <x14:table altTextSummary="List of monthly income items and amount"/>
    </ext>
  </extLst>
</table>
</file>

<file path=xl/tables/table3.xml><?xml version="1.0" encoding="utf-8"?>
<table xmlns="http://schemas.openxmlformats.org/spreadsheetml/2006/main" id="6" name="Summary" displayName="Summary" ref="B5:D6" totalsRowShown="0" headerRowDxfId="11" dataDxfId="10" headerRowBorderDxfId="8" tableBorderDxfId="9" totalsRowBorderDxfId="7" headerRowCellStyle="Heading 2" dataCellStyle="Heading 3">
  <autoFilter ref="B5:D6"/>
  <tableColumns count="3">
    <tableColumn id="1" name="Total Monthly Income" dataDxfId="6" dataCellStyle="Heading 3">
      <calculatedColumnFormula>TotalMonthlyIncome</calculatedColumnFormula>
    </tableColumn>
    <tableColumn id="2" name="Total Monthly Expenses" dataDxfId="5" dataCellStyle="Heading 3">
      <calculatedColumnFormula>TotalMonthlyExpenses</calculatedColumnFormula>
    </tableColumn>
    <tableColumn id="3" name="Balance" dataDxfId="4" dataCellStyle="Heading 3">
      <calculatedColumnFormula>TotalMonthlyIncome-TotalMonthlyExpenses</calculatedColumnFormula>
    </tableColumn>
  </tableColumns>
  <tableStyleInfo name="Simple Monthly Budget" showFirstColumn="0" showLastColumn="0" showRowStripes="1" showColumnStripes="0"/>
  <extLst>
    <ext xmlns:x14="http://schemas.microsoft.com/office/spreadsheetml/2009/9/main" uri="{504A1905-F514-4f6f-8877-14C23A59335A}">
      <x14:table altTextSummary="A summary of the total monthly income, expenses and remaining balance. This table is automatically updated from entries in the Monthly Income and Monthly Expenses worksheets"/>
    </ext>
  </extLst>
</table>
</file>

<file path=xl/tables/table4.xml><?xml version="1.0" encoding="utf-8"?>
<table xmlns="http://schemas.openxmlformats.org/spreadsheetml/2006/main" id="1" name="Content" displayName="Content" ref="B5:E8" totalsRowCount="1" headerRowBorderDxfId="51" tableBorderDxfId="50" headerRowCellStyle="Normal 2">
  <autoFilter ref="B5:E7">
    <filterColumn colId="0" hiddenButton="1"/>
    <filterColumn colId="1" hiddenButton="1"/>
    <filterColumn colId="2" hiddenButton="1"/>
    <filterColumn colId="3" hiddenButton="1"/>
  </autoFilter>
  <tableColumns count="4">
    <tableColumn id="1" name="Knowledge content" totalsRowLabel="Percentage completed" totalsRowDxfId="49"/>
    <tableColumn id="2" name="Knowledge area 1" totalsRowFunction="custom" totalsRowDxfId="48">
      <totalsRowFormula>C6/C7</totalsRowFormula>
    </tableColumn>
    <tableColumn id="3" name="Knowledge area 2" totalsRowFunction="custom" totalsRowDxfId="47">
      <totalsRowFormula>D6/D7</totalsRowFormula>
    </tableColumn>
    <tableColumn id="4" name="Knowledge area 3" totalsRowFunction="custom" totalsRowDxfId="46">
      <totalsRowFormula>E6/E7</totalsRowFormula>
    </tableColumn>
  </tableColumns>
  <tableStyleInfo showFirstColumn="1" showLastColumn="0" showRowStripes="0" showColumnStripes="0"/>
  <extLst>
    <ext xmlns:x14="http://schemas.microsoft.com/office/spreadsheetml/2009/9/main" uri="{504A1905-F514-4f6f-8877-14C23A59335A}">
      <x14:table altTextSummary="Enter Knowledge Content items and numbers in Knowledge Areas. Percentage completed is auto calculated"/>
    </ext>
  </extLst>
</table>
</file>

<file path=xl/tables/table5.xml><?xml version="1.0" encoding="utf-8"?>
<table xmlns="http://schemas.openxmlformats.org/spreadsheetml/2006/main" id="2" name="InfrastructureAnnualCosts" displayName="InfrastructureAnnualCosts" ref="B10:E15" totalsRowCount="1" headerRowBorderDxfId="45" tableBorderDxfId="44" headerRowCellStyle="Normal 2">
  <autoFilter ref="B10:E14">
    <filterColumn colId="0" hiddenButton="1"/>
    <filterColumn colId="1" hiddenButton="1"/>
    <filterColumn colId="2" hiddenButton="1"/>
    <filterColumn colId="3" hiddenButton="1"/>
  </autoFilter>
  <tableColumns count="4">
    <tableColumn id="1" name="Knowledge infrastructure — annual costs" totalsRowLabel="Total infrastructure costs" totalsRowDxfId="43"/>
    <tableColumn id="2" name="Knowledge area 1" totalsRowFunction="custom" totalsRowDxfId="42">
      <totalsRowFormula>SUBTOTAL(109,'KNOWLEDGE MANAGEMENT REPORT'!$C$11:$C$14)</totalsRowFormula>
    </tableColumn>
    <tableColumn id="3" name="Knowledge area 2" totalsRowFunction="custom" totalsRowDxfId="41">
      <totalsRowFormula>SUBTOTAL(109,'KNOWLEDGE MANAGEMENT REPORT'!$D$11:$D$14)</totalsRowFormula>
    </tableColumn>
    <tableColumn id="4" name="Knowledge area 3" totalsRowFunction="custom" totalsRowDxfId="40">
      <totalsRowFormula>SUBTOTAL(109,'KNOWLEDGE MANAGEMENT REPORT'!$E$11:$E$14)</totalsRowFormula>
    </tableColumn>
  </tableColumns>
  <tableStyleInfo showFirstColumn="1" showLastColumn="0" showRowStripes="0" showColumnStripes="0"/>
  <extLst>
    <ext xmlns:x14="http://schemas.microsoft.com/office/spreadsheetml/2009/9/main" uri="{504A1905-F514-4f6f-8877-14C23A59335A}">
      <x14:table altTextSummary="Enter Knowledge Infrastructure Annual Costs items and numbers in Knowledge Areas. Total infrastructure costs are auto calculated"/>
    </ext>
  </extLst>
</table>
</file>

<file path=xl/tables/table6.xml><?xml version="1.0" encoding="utf-8"?>
<table xmlns="http://schemas.openxmlformats.org/spreadsheetml/2006/main" id="3" name="EndUserStatistics" displayName="EndUserStatistics" ref="B17:E22" totalsRowCount="1" headerRowBorderDxfId="39" tableBorderDxfId="38" headerRowCellStyle="Normal 2">
  <autoFilter ref="B17:E21">
    <filterColumn colId="0" hiddenButton="1"/>
    <filterColumn colId="1" hiddenButton="1"/>
    <filterColumn colId="2" hiddenButton="1"/>
    <filterColumn colId="3" hiddenButton="1"/>
  </autoFilter>
  <tableColumns count="4">
    <tableColumn id="1" name="End-user statistics" totalsRowLabel="Percentage" dataDxfId="37" totalsRowDxfId="36"/>
    <tableColumn id="2" name="Knowledge area 1" totalsRowFunction="custom" totalsRowDxfId="35">
      <totalsRowFormula>C21/C18</totalsRowFormula>
    </tableColumn>
    <tableColumn id="3" name="Knowledge area 2" totalsRowFunction="custom" totalsRowDxfId="34">
      <totalsRowFormula>D21/D18</totalsRowFormula>
    </tableColumn>
    <tableColumn id="4" name="Knowledge area 3" totalsRowFunction="custom" totalsRowDxfId="33">
      <totalsRowFormula>E21/E18</totalsRowFormula>
    </tableColumn>
  </tableColumns>
  <tableStyleInfo showFirstColumn="1" showLastColumn="0" showRowStripes="0" showColumnStripes="0"/>
  <extLst>
    <ext xmlns:x14="http://schemas.microsoft.com/office/spreadsheetml/2009/9/main" uri="{504A1905-F514-4f6f-8877-14C23A59335A}">
      <x14:table altTextSummary="Enter End-user Statistics items and numbers in Knowledge Areas. Percentages are auto calculated"/>
    </ext>
  </extLst>
</table>
</file>

<file path=xl/tables/table7.xml><?xml version="1.0" encoding="utf-8"?>
<table xmlns="http://schemas.openxmlformats.org/spreadsheetml/2006/main" id="4" name="ContentSubmission" displayName="ContentSubmission" ref="B24:E27" totalsRowCount="1" headerRowBorderDxfId="32" tableBorderDxfId="31" headerRowCellStyle="Normal 2">
  <autoFilter ref="B24:E26">
    <filterColumn colId="0" hiddenButton="1"/>
    <filterColumn colId="1" hiddenButton="1"/>
    <filterColumn colId="2" hiddenButton="1"/>
    <filterColumn colId="3" hiddenButton="1"/>
  </autoFilter>
  <tableColumns count="4">
    <tableColumn id="1" name="Content submission" totalsRowLabel="Acceptance rate" totalsRowDxfId="30"/>
    <tableColumn id="2" name="Knowledge area 1" totalsRowFunction="custom" totalsRowDxfId="29">
      <totalsRowFormula>C26/C25</totalsRowFormula>
    </tableColumn>
    <tableColumn id="3" name="Knowledge area 2" totalsRowFunction="custom" totalsRowDxfId="28">
      <totalsRowFormula>D26/D25</totalsRowFormula>
    </tableColumn>
    <tableColumn id="4" name="Knowledge area 3" totalsRowFunction="custom" totalsRowDxfId="27">
      <totalsRowFormula>E26/E25</totalsRowFormula>
    </tableColumn>
  </tableColumns>
  <tableStyleInfo showFirstColumn="1" showLastColumn="0" showRowStripes="0" showColumnStripes="0"/>
  <extLst>
    <ext xmlns:x14="http://schemas.microsoft.com/office/spreadsheetml/2009/9/main" uri="{504A1905-F514-4f6f-8877-14C23A59335A}">
      <x14:table altTextSummary="Enter Content Submission items and numbers in Knowledge Areas. Percentages are auto calculated"/>
    </ext>
  </extLst>
</table>
</file>

<file path=xl/tables/table8.xml><?xml version="1.0" encoding="utf-8"?>
<table xmlns="http://schemas.openxmlformats.org/spreadsheetml/2006/main" id="5" name="ExpenseData" displayName="ExpenseData" ref="B7:L19" totalsRowCount="1" dataDxfId="26" totalsRowDxfId="25" headerRowCellStyle="Header Row">
  <autoFilter ref="B7:L18">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autoFilter>
  <tableColumns count="11">
    <tableColumn id="1" name="Date" totalsRowLabel="Total" totalsRowDxfId="24" dataCellStyle="Date"/>
    <tableColumn id="2" name="Account" totalsRowDxfId="23" dataCellStyle="Table Text"/>
    <tableColumn id="3" name="Description" totalsRowDxfId="22" dataCellStyle="Table Text"/>
    <tableColumn id="4" name="Hotel" totalsRowFunction="sum" totalsRowDxfId="21" dataCellStyle="Table Text"/>
    <tableColumn id="5" name="Transport" totalsRowFunction="sum" totalsRowDxfId="20" dataCellStyle="Currency"/>
    <tableColumn id="6" name="Fuel" totalsRowFunction="sum" totalsRowDxfId="19" dataCellStyle="Currency"/>
    <tableColumn id="7" name="Meals" totalsRowFunction="sum" totalsRowDxfId="18" dataCellStyle="Currency"/>
    <tableColumn id="8" name="Phone" totalsRowFunction="sum" totalsRowDxfId="17" dataCellStyle="Currency"/>
    <tableColumn id="10" name="Entertainment" totalsRowFunction="sum" totalsRowDxfId="16" dataCellStyle="Currency"/>
    <tableColumn id="11" name="Misc." totalsRowFunction="sum" totalsRowDxfId="15" dataCellStyle="Currency"/>
    <tableColumn id="12" name="Total" totalsRowFunction="sum" totalsRowDxfId="14" dataCellStyle="Currency">
      <calculatedColumnFormula>SUM(ExpenseData[[#This Row],[Hotel]:[Misc.]])</calculatedColumnFormula>
    </tableColumn>
  </tableColumns>
  <tableStyleInfo name="TableStyleLight9" showFirstColumn="0" showLastColumn="0" showRowStripes="1" showColumnStripes="0"/>
  <extLst>
    <ext xmlns:x14="http://schemas.microsoft.com/office/spreadsheetml/2009/9/main" uri="{504A1905-F514-4f6f-8877-14C23A59335A}">
      <x14:table altTextSummary="Enter expenses by date, account with description, &amp; various expenses by category in this table to calculate the total expenses incurred by employee"/>
    </ext>
  </extLst>
</table>
</file>

<file path=xl/theme/_rels/theme1.xml.rels><?xml version="1.0" encoding="UTF-8" standalone="yes"?>
<Relationships xmlns="http://schemas.openxmlformats.org/package/2006/relationships"><Relationship Id="rId1" Type="http://schemas.openxmlformats.org/officeDocument/2006/relationships/image" Target="../media/image1.jpeg"/></Relationships>
</file>

<file path=xl/theme/theme1.xml><?xml version="1.0" encoding="utf-8"?>
<a:theme xmlns:a="http://schemas.openxmlformats.org/drawingml/2006/main" name="Ion">
  <a:themeElements>
    <a:clrScheme name="Custom 214">
      <a:dk1>
        <a:sysClr val="windowText" lastClr="000000"/>
      </a:dk1>
      <a:lt1>
        <a:sysClr val="window" lastClr="FFFFFF"/>
      </a:lt1>
      <a:dk2>
        <a:srgbClr val="073246"/>
      </a:dk2>
      <a:lt2>
        <a:srgbClr val="EBEBEB"/>
      </a:lt2>
      <a:accent1>
        <a:srgbClr val="073246"/>
      </a:accent1>
      <a:accent2>
        <a:srgbClr val="164170"/>
      </a:accent2>
      <a:accent3>
        <a:srgbClr val="34B9A6"/>
      </a:accent3>
      <a:accent4>
        <a:srgbClr val="0F62AF"/>
      </a:accent4>
      <a:accent5>
        <a:srgbClr val="11A1D8"/>
      </a:accent5>
      <a:accent6>
        <a:srgbClr val="1D6FB1"/>
      </a:accent6>
      <a:hlink>
        <a:srgbClr val="58C1BA"/>
      </a:hlink>
      <a:folHlink>
        <a:srgbClr val="9DFFCB"/>
      </a:folHlink>
    </a:clrScheme>
    <a:fontScheme name="Knowledge management report">
      <a:majorFont>
        <a:latin typeface="Century Gothic"/>
        <a:ea typeface=""/>
        <a:cs typeface=""/>
      </a:majorFont>
      <a:minorFont>
        <a:latin typeface="Calibri"/>
        <a:ea typeface=""/>
        <a:cs typeface=""/>
      </a:minorFont>
    </a:fontScheme>
    <a:fmtScheme name="Ion">
      <a:fillStyleLst>
        <a:solidFill>
          <a:schemeClr val="phClr"/>
        </a:solidFill>
        <a:gradFill rotWithShape="1">
          <a:gsLst>
            <a:gs pos="0">
              <a:schemeClr val="phClr">
                <a:tint val="64000"/>
                <a:lumMod val="118000"/>
              </a:schemeClr>
            </a:gs>
            <a:gs pos="100000">
              <a:schemeClr val="phClr">
                <a:tint val="92000"/>
                <a:alpha val="100000"/>
                <a:lumMod val="110000"/>
              </a:schemeClr>
            </a:gs>
          </a:gsLst>
          <a:lin ang="5400000" scaled="0"/>
        </a:gradFill>
        <a:gradFill rotWithShape="1">
          <a:gsLst>
            <a:gs pos="0">
              <a:schemeClr val="phClr">
                <a:tint val="98000"/>
                <a:lumMod val="114000"/>
              </a:schemeClr>
            </a:gs>
            <a:gs pos="100000">
              <a:schemeClr val="phClr">
                <a:shade val="90000"/>
                <a:lumMod val="84000"/>
              </a:schemeClr>
            </a:gs>
          </a:gsLst>
          <a:lin ang="5400000" scaled="0"/>
        </a:gradFill>
      </a:fillStyleLst>
      <a:lnStyleLst>
        <a:ln w="9525" cap="rnd" cmpd="sng" algn="ctr">
          <a:solidFill>
            <a:schemeClr val="phClr"/>
          </a:solidFill>
          <a:prstDash val="solid"/>
        </a:ln>
        <a:ln w="19050" cap="rnd" cmpd="sng" algn="ctr">
          <a:solidFill>
            <a:schemeClr val="phClr"/>
          </a:solidFill>
          <a:prstDash val="solid"/>
        </a:ln>
        <a:ln w="28575" cap="rnd" cmpd="sng" algn="ctr">
          <a:solidFill>
            <a:schemeClr val="phClr"/>
          </a:solidFill>
          <a:prstDash val="solid"/>
        </a:ln>
      </a:lnStyleLst>
      <a:effectStyleLst>
        <a:effectStyle>
          <a:effectLst/>
        </a:effectStyle>
        <a:effectStyle>
          <a:effectLst>
            <a:outerShdw blurRad="38100" dist="25400" dir="5400000" rotWithShape="0">
              <a:srgbClr val="000000">
                <a:alpha val="45000"/>
              </a:srgbClr>
            </a:outerShdw>
          </a:effectLst>
        </a:effectStyle>
        <a:effectStyle>
          <a:effectLst>
            <a:outerShdw blurRad="63500" dist="38100" dir="5400000" rotWithShape="0">
              <a:srgbClr val="000000">
                <a:alpha val="60000"/>
              </a:srgbClr>
            </a:outerShdw>
          </a:effectLst>
          <a:scene3d>
            <a:camera prst="orthographicFront">
              <a:rot lat="0" lon="0" rev="0"/>
            </a:camera>
            <a:lightRig rig="threePt" dir="tl"/>
          </a:scene3d>
          <a:sp3d prstMaterial="plastic">
            <a:bevelT w="0" h="0"/>
          </a:sp3d>
        </a:effectStyle>
      </a:effectStyleLst>
      <a:bgFillStyleLst>
        <a:solidFill>
          <a:schemeClr val="phClr"/>
        </a:solidFill>
        <a:gradFill rotWithShape="1">
          <a:gsLst>
            <a:gs pos="0">
              <a:schemeClr val="phClr">
                <a:tint val="97000"/>
                <a:hueMod val="88000"/>
                <a:satMod val="130000"/>
                <a:lumMod val="124000"/>
              </a:schemeClr>
            </a:gs>
            <a:gs pos="100000">
              <a:schemeClr val="phClr">
                <a:tint val="96000"/>
                <a:shade val="88000"/>
                <a:hueMod val="108000"/>
                <a:satMod val="164000"/>
                <a:lumMod val="76000"/>
              </a:schemeClr>
            </a:gs>
          </a:gsLst>
          <a:path path="circle">
            <a:fillToRect l="45000" t="65000" r="125000" b="100000"/>
          </a:path>
        </a:gradFill>
        <a:blipFill rotWithShape="1">
          <a:blip xmlns:r="http://schemas.openxmlformats.org/officeDocument/2006/relationships" r:embed="rId1">
            <a:duotone>
              <a:schemeClr val="phClr">
                <a:shade val="69000"/>
                <a:hueMod val="108000"/>
                <a:satMod val="164000"/>
                <a:lumMod val="74000"/>
              </a:schemeClr>
              <a:schemeClr val="phClr">
                <a:tint val="96000"/>
                <a:hueMod val="88000"/>
                <a:satMod val="140000"/>
                <a:lumMod val="132000"/>
              </a:schemeClr>
            </a:duotone>
          </a:blip>
          <a:stretch/>
        </a:blipFill>
      </a:bgFillStyleLst>
    </a:fmtScheme>
  </a:themeElements>
  <a:objectDefaults/>
  <a:extraClrSchemeLst/>
  <a:extLst>
    <a:ext uri="{05A4C25C-085E-4340-85A3-A5531E510DB2}">
      <thm15:themeFamily xmlns:thm15="http://schemas.microsoft.com/office/thememl/2012/main" name="Ion" id="{B8441ADB-2E43-4AF7-B97A-BD870242C6A8}" vid="{292E63A9-BB86-4E3D-B92A-7223C6510D2E}"/>
    </a:ext>
  </a:extLst>
</a:theme>
</file>

<file path=xl/worksheets/_rels/sheet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drawing" Target="../drawings/drawing1.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table" Target="../tables/table5.xml"/><Relationship Id="rId2" Type="http://schemas.openxmlformats.org/officeDocument/2006/relationships/table" Target="../tables/table4.xml"/><Relationship Id="rId1" Type="http://schemas.openxmlformats.org/officeDocument/2006/relationships/printerSettings" Target="../printerSettings/printerSettings5.bin"/><Relationship Id="rId5" Type="http://schemas.openxmlformats.org/officeDocument/2006/relationships/table" Target="../tables/table7.xml"/><Relationship Id="rId4" Type="http://schemas.openxmlformats.org/officeDocument/2006/relationships/table" Target="../tables/table6.xml"/></Relationships>
</file>

<file path=xl/worksheets/_rels/sheet7.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7"/>
  <sheetViews>
    <sheetView workbookViewId="0">
      <selection activeCell="A4" sqref="A4"/>
    </sheetView>
  </sheetViews>
  <sheetFormatPr defaultRowHeight="15" x14ac:dyDescent="0.25"/>
  <cols>
    <col min="1" max="1" width="20.42578125" customWidth="1"/>
  </cols>
  <sheetData>
    <row r="1" spans="1:1" ht="30" x14ac:dyDescent="0.25">
      <c r="A1" s="71" t="s">
        <v>96</v>
      </c>
    </row>
    <row r="2" spans="1:1" ht="45" x14ac:dyDescent="0.25">
      <c r="A2" s="71" t="s">
        <v>97</v>
      </c>
    </row>
    <row r="3" spans="1:1" ht="30" x14ac:dyDescent="0.25">
      <c r="A3" s="71" t="s">
        <v>98</v>
      </c>
    </row>
    <row r="4" spans="1:1" ht="30" x14ac:dyDescent="0.25">
      <c r="A4" s="71" t="s">
        <v>99</v>
      </c>
    </row>
    <row r="5" spans="1:1" x14ac:dyDescent="0.25">
      <c r="A5" s="71" t="s">
        <v>100</v>
      </c>
    </row>
    <row r="6" spans="1:1" ht="45" x14ac:dyDescent="0.25">
      <c r="A6" s="71" t="s">
        <v>101</v>
      </c>
    </row>
    <row r="7" spans="1:1" x14ac:dyDescent="0.25">
      <c r="A7" s="71" t="s">
        <v>71</v>
      </c>
    </row>
  </sheetData>
  <hyperlinks>
    <hyperlink ref="A1" location="'Table of Contents'!A1" display="Table of Contents"/>
    <hyperlink ref="A2" location="'Monthly Expenses'!A1" display="Monthly Expenses"/>
    <hyperlink ref="A3" location="'Monthly Income'!A1" display="Monthly Income"/>
    <hyperlink ref="A4" location="'Summary'!A1" display="Summary"/>
    <hyperlink ref="A5" location="'Start'!A1" display="Start"/>
    <hyperlink ref="A6" location="'KNOWLEDGE MANAGEMENT REPORT'!A1" display="KNOWLEDGE MANAGEMENT REPORT"/>
    <hyperlink ref="A7" location="'EXPENSE REPORT'!A1" display="EXPENSE REPORT"/>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theme="5" tint="-0.249977111117893"/>
    <pageSetUpPr autoPageBreaks="0" fitToPage="1"/>
  </sheetPr>
  <dimension ref="B1:C16"/>
  <sheetViews>
    <sheetView showGridLines="0" zoomScaleNormal="100" workbookViewId="0"/>
  </sheetViews>
  <sheetFormatPr defaultRowHeight="30" customHeight="1" x14ac:dyDescent="0.25"/>
  <cols>
    <col min="1" max="1" width="3" style="51" customWidth="1"/>
    <col min="2" max="2" width="25.5703125" style="51" customWidth="1"/>
    <col min="3" max="3" width="16.42578125" style="51" customWidth="1"/>
    <col min="4" max="4" width="3" style="51" customWidth="1"/>
    <col min="5" max="6" width="29.140625" style="51" customWidth="1"/>
    <col min="7" max="8" width="14.42578125" style="51" customWidth="1"/>
    <col min="9" max="9" width="3" style="51" customWidth="1"/>
    <col min="10" max="16384" width="9.140625" style="51"/>
  </cols>
  <sheetData>
    <row r="1" spans="2:3" ht="45" customHeight="1" x14ac:dyDescent="0.5">
      <c r="B1" s="66" t="str">
        <f>BudgetTitle</f>
        <v>SIMPLE MONTHLY BUDGET</v>
      </c>
    </row>
    <row r="2" spans="2:3" ht="30" customHeight="1" thickBot="1" x14ac:dyDescent="0.35">
      <c r="B2" s="58" t="s">
        <v>95</v>
      </c>
      <c r="C2" s="57"/>
    </row>
    <row r="3" spans="2:3" ht="20.100000000000001" customHeight="1" thickBot="1" x14ac:dyDescent="0.3">
      <c r="B3" s="70" t="s">
        <v>81</v>
      </c>
      <c r="C3" s="69" t="s">
        <v>80</v>
      </c>
    </row>
    <row r="4" spans="2:3" ht="30" customHeight="1" x14ac:dyDescent="0.25">
      <c r="B4" s="68" t="s">
        <v>94</v>
      </c>
      <c r="C4" s="67">
        <v>800</v>
      </c>
    </row>
    <row r="5" spans="2:3" ht="30" customHeight="1" x14ac:dyDescent="0.25">
      <c r="B5" s="68" t="s">
        <v>93</v>
      </c>
      <c r="C5" s="67">
        <v>120</v>
      </c>
    </row>
    <row r="6" spans="2:3" ht="30" customHeight="1" x14ac:dyDescent="0.25">
      <c r="B6" s="68" t="s">
        <v>92</v>
      </c>
      <c r="C6" s="67">
        <v>50</v>
      </c>
    </row>
    <row r="7" spans="2:3" ht="30" customHeight="1" x14ac:dyDescent="0.25">
      <c r="B7" s="68" t="s">
        <v>91</v>
      </c>
      <c r="C7" s="67">
        <v>45</v>
      </c>
    </row>
    <row r="8" spans="2:3" ht="30" customHeight="1" x14ac:dyDescent="0.25">
      <c r="B8" s="68" t="s">
        <v>90</v>
      </c>
      <c r="C8" s="67">
        <v>500</v>
      </c>
    </row>
    <row r="9" spans="2:3" ht="30" customHeight="1" x14ac:dyDescent="0.25">
      <c r="B9" s="68" t="s">
        <v>89</v>
      </c>
      <c r="C9" s="67">
        <v>273</v>
      </c>
    </row>
    <row r="10" spans="2:3" ht="30" customHeight="1" x14ac:dyDescent="0.25">
      <c r="B10" s="68" t="s">
        <v>88</v>
      </c>
      <c r="C10" s="67">
        <v>120</v>
      </c>
    </row>
    <row r="11" spans="2:3" ht="30" customHeight="1" x14ac:dyDescent="0.25">
      <c r="B11" s="68" t="s">
        <v>87</v>
      </c>
      <c r="C11" s="67">
        <v>50</v>
      </c>
    </row>
    <row r="12" spans="2:3" ht="30" customHeight="1" x14ac:dyDescent="0.25">
      <c r="B12" s="68" t="s">
        <v>86</v>
      </c>
      <c r="C12" s="67">
        <v>100</v>
      </c>
    </row>
    <row r="13" spans="2:3" ht="30" customHeight="1" x14ac:dyDescent="0.25">
      <c r="B13" s="68" t="s">
        <v>85</v>
      </c>
      <c r="C13" s="67">
        <v>78</v>
      </c>
    </row>
    <row r="14" spans="2:3" ht="30" customHeight="1" x14ac:dyDescent="0.25">
      <c r="B14" s="68" t="s">
        <v>84</v>
      </c>
      <c r="C14" s="67">
        <v>50</v>
      </c>
    </row>
    <row r="15" spans="2:3" ht="30" customHeight="1" x14ac:dyDescent="0.25">
      <c r="B15" s="68" t="s">
        <v>50</v>
      </c>
      <c r="C15" s="67">
        <v>100</v>
      </c>
    </row>
    <row r="16" spans="2:3" ht="30" customHeight="1" x14ac:dyDescent="0.25">
      <c r="B16" s="68" t="s">
        <v>83</v>
      </c>
      <c r="C16" s="67">
        <v>50</v>
      </c>
    </row>
  </sheetData>
  <dataValidations count="4">
    <dataValidation allowBlank="1" showInputMessage="1" showErrorMessage="1" prompt="Title is automatically updated based on B1 content on the Summary worksheet" sqref="B1"/>
    <dataValidation allowBlank="1" showInputMessage="1" showErrorMessage="1" prompt="Enter the amount for each expense in this column" sqref="C3"/>
    <dataValidation allowBlank="1" showInputMessage="1" showErrorMessage="1" prompt="Enter each expense in this column" sqref="B3"/>
    <dataValidation allowBlank="1" showInputMessage="1" showErrorMessage="1" prompt="Enter Monthly Expense items and amounts in this worksheet" sqref="A1"/>
  </dataValidations>
  <printOptions horizontalCentered="1"/>
  <pageMargins left="0.7" right="0.7" top="0.75" bottom="0.75" header="0.3" footer="0.3"/>
  <pageSetup fitToHeight="0" orientation="landscape" r:id="rId1"/>
  <headerFooter differentFirst="1">
    <oddFooter>Page &amp;P of &amp;N</oddFooter>
  </headerFooter>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theme="4" tint="-0.499984740745262"/>
    <pageSetUpPr autoPageBreaks="0" fitToPage="1"/>
  </sheetPr>
  <dimension ref="B1:C6"/>
  <sheetViews>
    <sheetView showGridLines="0" zoomScaleNormal="100" workbookViewId="0">
      <selection activeCell="L8" sqref="L8"/>
    </sheetView>
  </sheetViews>
  <sheetFormatPr defaultRowHeight="30" customHeight="1" x14ac:dyDescent="0.25"/>
  <cols>
    <col min="1" max="1" width="3" style="51" customWidth="1"/>
    <col min="2" max="2" width="25.5703125" style="51" customWidth="1"/>
    <col min="3" max="3" width="16.42578125" style="51" customWidth="1"/>
    <col min="4" max="4" width="11.7109375" style="51" customWidth="1"/>
    <col min="5" max="5" width="3" style="51" customWidth="1"/>
    <col min="6" max="16384" width="9.140625" style="51"/>
  </cols>
  <sheetData>
    <row r="1" spans="2:3" ht="45" customHeight="1" x14ac:dyDescent="0.5">
      <c r="B1" s="66" t="str">
        <f>BudgetTitle</f>
        <v>SIMPLE MONTHLY BUDGET</v>
      </c>
    </row>
    <row r="2" spans="2:3" ht="30" customHeight="1" thickBot="1" x14ac:dyDescent="0.35">
      <c r="B2" s="58" t="s">
        <v>82</v>
      </c>
      <c r="C2" s="57"/>
    </row>
    <row r="3" spans="2:3" ht="20.100000000000001" customHeight="1" thickBot="1" x14ac:dyDescent="0.3">
      <c r="B3" s="70" t="s">
        <v>81</v>
      </c>
      <c r="C3" s="69" t="s">
        <v>80</v>
      </c>
    </row>
    <row r="4" spans="2:3" ht="30" customHeight="1" x14ac:dyDescent="0.25">
      <c r="B4" s="68" t="s">
        <v>79</v>
      </c>
      <c r="C4" s="67">
        <v>2500</v>
      </c>
    </row>
    <row r="5" spans="2:3" ht="30" customHeight="1" x14ac:dyDescent="0.25">
      <c r="B5" s="68" t="s">
        <v>78</v>
      </c>
      <c r="C5" s="67">
        <v>1000</v>
      </c>
    </row>
    <row r="6" spans="2:3" ht="30" customHeight="1" x14ac:dyDescent="0.25">
      <c r="B6" s="68" t="s">
        <v>10</v>
      </c>
      <c r="C6" s="67">
        <v>250</v>
      </c>
    </row>
  </sheetData>
  <dataValidations count="4">
    <dataValidation allowBlank="1" showInputMessage="1" showErrorMessage="1" prompt="Title is automatically updated based on B1 content on the Summary worksheet" sqref="B1"/>
    <dataValidation allowBlank="1" showInputMessage="1" showErrorMessage="1" prompt="Enter the income amounts for each income source in this column" sqref="C3"/>
    <dataValidation allowBlank="1" showInputMessage="1" showErrorMessage="1" prompt="Enter each income source in this column" sqref="B3"/>
    <dataValidation allowBlank="1" showInputMessage="1" showErrorMessage="1" prompt="Enter Monthly Income items and amounts in this worksheet" sqref="A1"/>
  </dataValidations>
  <printOptions horizontalCentered="1"/>
  <pageMargins left="0.7" right="0.7" top="0.75" bottom="0.75" header="0.3" footer="0.3"/>
  <pageSetup fitToHeight="0" orientation="landscape" r:id="rId1"/>
  <headerFooter differentFirst="1">
    <oddFooter>Page &amp;P of &amp;N</oddFooter>
  </headerFooter>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theme="2" tint="-0.499984740745262"/>
    <pageSetUpPr autoPageBreaks="0" fitToPage="1"/>
  </sheetPr>
  <dimension ref="B1:E7"/>
  <sheetViews>
    <sheetView showGridLines="0" tabSelected="1" zoomScaleNormal="100" workbookViewId="0">
      <selection activeCell="R3" sqref="R3"/>
    </sheetView>
  </sheetViews>
  <sheetFormatPr defaultRowHeight="21" customHeight="1" x14ac:dyDescent="0.25"/>
  <cols>
    <col min="1" max="1" width="3" style="51" customWidth="1"/>
    <col min="2" max="2" width="29.140625" style="51" customWidth="1"/>
    <col min="3" max="3" width="30.140625" style="51" customWidth="1"/>
    <col min="4" max="5" width="14.42578125" style="51" customWidth="1"/>
    <col min="6" max="6" width="3" style="51" customWidth="1"/>
    <col min="7" max="16384" width="9.140625" style="51"/>
  </cols>
  <sheetData>
    <row r="1" spans="2:5" ht="45" customHeight="1" x14ac:dyDescent="0.5">
      <c r="B1" s="66" t="s">
        <v>77</v>
      </c>
    </row>
    <row r="2" spans="2:5" ht="30" customHeight="1" thickBot="1" x14ac:dyDescent="0.35">
      <c r="B2" s="65" t="s">
        <v>76</v>
      </c>
      <c r="C2" s="64"/>
      <c r="D2" s="64"/>
      <c r="E2" s="63"/>
    </row>
    <row r="3" spans="2:5" ht="42" customHeight="1" thickTop="1" thickBot="1" x14ac:dyDescent="0.3">
      <c r="B3" s="62">
        <f>TotalMonthlyExpenses</f>
        <v>2336</v>
      </c>
      <c r="C3" s="61"/>
      <c r="D3" s="60"/>
      <c r="E3" s="59">
        <f>TotalMonthlyExpenses/TotalMonthlyIncome</f>
        <v>0.62293333333333334</v>
      </c>
    </row>
    <row r="4" spans="2:5" ht="39.950000000000003" customHeight="1" thickTop="1" x14ac:dyDescent="0.3">
      <c r="B4" s="58" t="s">
        <v>75</v>
      </c>
      <c r="C4" s="57"/>
      <c r="D4" s="57"/>
    </row>
    <row r="5" spans="2:5" ht="20.100000000000001" customHeight="1" thickBot="1" x14ac:dyDescent="0.3">
      <c r="B5" s="56" t="s">
        <v>74</v>
      </c>
      <c r="C5" s="56" t="s">
        <v>73</v>
      </c>
      <c r="D5" s="56" t="s">
        <v>72</v>
      </c>
    </row>
    <row r="6" spans="2:5" ht="21" customHeight="1" x14ac:dyDescent="0.25">
      <c r="B6" s="55">
        <f>TotalMonthlyIncome</f>
        <v>3750</v>
      </c>
      <c r="C6" s="55">
        <f>TotalMonthlyExpenses</f>
        <v>2336</v>
      </c>
      <c r="D6" s="55">
        <f>TotalMonthlyIncome-TotalMonthlyExpenses</f>
        <v>1414</v>
      </c>
    </row>
    <row r="7" spans="2:5" ht="321.75" customHeight="1" x14ac:dyDescent="0.25">
      <c r="B7" s="54"/>
      <c r="C7" s="53"/>
      <c r="D7" s="52"/>
      <c r="E7" s="52"/>
    </row>
  </sheetData>
  <mergeCells count="1">
    <mergeCell ref="B3:D3"/>
  </mergeCells>
  <conditionalFormatting sqref="B3">
    <cfRule type="dataBar" priority="1">
      <dataBar showValue="0">
        <cfvo type="num" val="0"/>
        <cfvo type="num" val="TotalMonthlyIncome"/>
        <color theme="4" tint="-0.499984740745262"/>
      </dataBar>
      <extLst>
        <ext xmlns:x14="http://schemas.microsoft.com/office/spreadsheetml/2009/9/main" uri="{B025F937-C7B1-47D3-B67F-A62EFF666E3E}">
          <x14:id>{308DE191-6413-494C-BEFF-0AFEAB1417A9}</x14:id>
        </ext>
      </extLst>
    </cfRule>
  </conditionalFormatting>
  <dataValidations count="8">
    <dataValidation allowBlank="1" showInputMessage="1" showErrorMessage="1" prompt="Enter a title for this worksheet. This title will automatically update B1 in both the Monthly Income and Monthly Expenses worksheets" sqref="B1"/>
    <dataValidation allowBlank="1" showInputMessage="1" showErrorMessage="1" prompt="A chart illustrating a comparison of the Total Monthly Income from Summary table column B6 and the Total Monthly Expenses from Summary table column C6 " sqref="B7"/>
    <dataValidation allowBlank="1" showInputMessage="1" showErrorMessage="1" prompt="Percentage of income spent is automatically calculated as a result of the value in E3. This value is then represented as a horizontal bar chart from column B to D" sqref="B3:D3"/>
    <dataValidation allowBlank="1" showInputMessage="1" showErrorMessage="1" prompt="This workbook has 3 worksheets: this summary worksheet with % income spent, total income, total expenses, and a comparison chart; A Monthly Income worksheet; and a Monthly Expenses worksheet " sqref="A1"/>
    <dataValidation allowBlank="1" showInputMessage="1" showErrorMessage="1" prompt="This entry is automatically calculated based on the Total Monthly Income and Total Monthly Expenses entries in this table" sqref="D5"/>
    <dataValidation allowBlank="1" showInputMessage="1" showErrorMessage="1" prompt="This entry is automatically updated based on the entries in the Monthly Expenses worksheet" sqref="C5"/>
    <dataValidation allowBlank="1" showInputMessage="1" showErrorMessage="1" prompt="This entry is automatically updated from the entries in the Monthly Income worksheet" sqref="B5"/>
    <dataValidation allowBlank="1" showInputMessage="1" showErrorMessage="1" prompt="The value &quot;Percentage of Income Spent&quot; is automatically calculated in this cell and determines the bar shading ratio in columns B to D at left" sqref="E3"/>
  </dataValidations>
  <printOptions horizontalCentered="1"/>
  <pageMargins left="0.7" right="0.7" top="0.75" bottom="0.75" header="0.3" footer="0.3"/>
  <pageSetup fitToHeight="0" orientation="landscape" r:id="rId1"/>
  <headerFooter differentFirst="1">
    <oddFooter>Page &amp;P of &amp;N</oddFooter>
  </headerFooter>
  <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dataBar" id="{308DE191-6413-494C-BEFF-0AFEAB1417A9}">
            <x14:dataBar minLength="0" maxLength="100" gradient="0">
              <x14:cfvo type="num">
                <xm:f>0</xm:f>
              </x14:cfvo>
              <x14:cfvo type="num">
                <xm:f>TotalMonthlyIncome</xm:f>
              </x14:cfvo>
              <x14:negativeFillColor rgb="FFFF0000"/>
              <x14:axisColor rgb="FF000000"/>
            </x14:dataBar>
          </x14:cfRule>
          <xm:sqref>B3</xm:sqref>
        </x14:conditionalFormatting>
      </x14:conditionalFormatting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theme="6"/>
  </sheetPr>
  <dimension ref="B1:B8"/>
  <sheetViews>
    <sheetView showGridLines="0" workbookViewId="0">
      <selection activeCell="H13" sqref="H13"/>
    </sheetView>
  </sheetViews>
  <sheetFormatPr defaultRowHeight="15" x14ac:dyDescent="0.25"/>
  <cols>
    <col min="1" max="1" width="2.7109375" customWidth="1"/>
    <col min="2" max="2" width="76.7109375" customWidth="1"/>
    <col min="3" max="3" width="2.7109375" customWidth="1"/>
  </cols>
  <sheetData>
    <row r="1" spans="2:2" ht="20.25" x14ac:dyDescent="0.3">
      <c r="B1" s="27" t="s">
        <v>32</v>
      </c>
    </row>
    <row r="2" spans="2:2" ht="26.25" customHeight="1" x14ac:dyDescent="0.25">
      <c r="B2" s="26" t="s">
        <v>26</v>
      </c>
    </row>
    <row r="3" spans="2:2" ht="17.25" customHeight="1" x14ac:dyDescent="0.25">
      <c r="B3" s="26" t="s">
        <v>27</v>
      </c>
    </row>
    <row r="4" spans="2:2" ht="20.25" customHeight="1" x14ac:dyDescent="0.25">
      <c r="B4" s="26" t="s">
        <v>28</v>
      </c>
    </row>
    <row r="5" spans="2:2" ht="18.75" customHeight="1" x14ac:dyDescent="0.25">
      <c r="B5" s="26" t="s">
        <v>29</v>
      </c>
    </row>
    <row r="6" spans="2:2" ht="27" customHeight="1" x14ac:dyDescent="0.25">
      <c r="B6" s="28" t="s">
        <v>30</v>
      </c>
    </row>
    <row r="7" spans="2:2" ht="70.5" customHeight="1" x14ac:dyDescent="0.25">
      <c r="B7" s="26" t="s">
        <v>35</v>
      </c>
    </row>
    <row r="8" spans="2:2" ht="36" customHeight="1" x14ac:dyDescent="0.25">
      <c r="B8" s="26" t="s">
        <v>31</v>
      </c>
    </row>
  </sheetData>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theme="7"/>
    <pageSetUpPr fitToPage="1"/>
  </sheetPr>
  <dimension ref="A1:E27"/>
  <sheetViews>
    <sheetView showGridLines="0" zoomScale="85" zoomScaleNormal="85" workbookViewId="0"/>
  </sheetViews>
  <sheetFormatPr defaultRowHeight="30" customHeight="1" x14ac:dyDescent="0.25"/>
  <cols>
    <col min="1" max="1" width="2.7109375" style="30" customWidth="1"/>
    <col min="2" max="2" width="66.42578125" customWidth="1"/>
    <col min="3" max="4" width="24.28515625" customWidth="1"/>
    <col min="5" max="5" width="21" customWidth="1"/>
    <col min="6" max="6" width="2.7109375" customWidth="1"/>
  </cols>
  <sheetData>
    <row r="1" spans="1:5" ht="27" customHeight="1" x14ac:dyDescent="0.25">
      <c r="A1" s="29" t="s">
        <v>36</v>
      </c>
      <c r="B1" s="1" t="s">
        <v>0</v>
      </c>
      <c r="C1" s="4"/>
      <c r="D1" s="4"/>
      <c r="E1" s="2" t="s">
        <v>21</v>
      </c>
    </row>
    <row r="2" spans="1:5" s="3" customFormat="1" ht="12" customHeight="1" x14ac:dyDescent="0.25">
      <c r="A2" s="29" t="s">
        <v>33</v>
      </c>
      <c r="B2" s="6" t="s">
        <v>34</v>
      </c>
      <c r="C2" s="7"/>
      <c r="D2" s="7"/>
      <c r="E2" s="5"/>
    </row>
    <row r="3" spans="1:5" s="18" customFormat="1" ht="117.75" customHeight="1" x14ac:dyDescent="0.25">
      <c r="A3" s="29" t="s">
        <v>37</v>
      </c>
      <c r="B3" s="31" t="s">
        <v>22</v>
      </c>
      <c r="C3" s="31"/>
      <c r="D3" s="31"/>
      <c r="E3" s="31"/>
    </row>
    <row r="4" spans="1:5" s="20" customFormat="1" ht="33" customHeight="1" x14ac:dyDescent="0.25">
      <c r="A4" s="29" t="s">
        <v>38</v>
      </c>
      <c r="B4" s="19" t="s">
        <v>1</v>
      </c>
    </row>
    <row r="5" spans="1:5" ht="30" customHeight="1" thickBot="1" x14ac:dyDescent="0.3">
      <c r="A5" s="29" t="s">
        <v>39</v>
      </c>
      <c r="B5" s="9" t="s">
        <v>2</v>
      </c>
      <c r="C5" s="9" t="s">
        <v>23</v>
      </c>
      <c r="D5" s="9" t="s">
        <v>24</v>
      </c>
      <c r="E5" s="9" t="s">
        <v>25</v>
      </c>
    </row>
    <row r="6" spans="1:5" ht="30" customHeight="1" thickBot="1" x14ac:dyDescent="0.3">
      <c r="B6" s="13" t="s">
        <v>3</v>
      </c>
      <c r="C6" s="13">
        <v>95</v>
      </c>
      <c r="D6" s="13">
        <v>90</v>
      </c>
      <c r="E6" s="13">
        <v>90</v>
      </c>
    </row>
    <row r="7" spans="1:5" ht="30" customHeight="1" thickBot="1" x14ac:dyDescent="0.3">
      <c r="B7" s="8" t="s">
        <v>4</v>
      </c>
      <c r="C7" s="8">
        <v>100</v>
      </c>
      <c r="D7" s="8">
        <v>150</v>
      </c>
      <c r="E7" s="8">
        <v>100</v>
      </c>
    </row>
    <row r="8" spans="1:5" ht="30" customHeight="1" x14ac:dyDescent="0.25">
      <c r="B8" s="21" t="s">
        <v>5</v>
      </c>
      <c r="C8" s="22">
        <f>C6/C7</f>
        <v>0.95</v>
      </c>
      <c r="D8" s="22">
        <f>D6/D7</f>
        <v>0.6</v>
      </c>
      <c r="E8" s="22">
        <f>E6/E7</f>
        <v>0.9</v>
      </c>
    </row>
    <row r="10" spans="1:5" ht="30" customHeight="1" thickBot="1" x14ac:dyDescent="0.3">
      <c r="A10" s="29" t="s">
        <v>40</v>
      </c>
      <c r="B10" s="9" t="s">
        <v>6</v>
      </c>
      <c r="C10" s="9" t="s">
        <v>23</v>
      </c>
      <c r="D10" s="9" t="s">
        <v>24</v>
      </c>
      <c r="E10" s="9" t="s">
        <v>25</v>
      </c>
    </row>
    <row r="11" spans="1:5" ht="30" customHeight="1" thickBot="1" x14ac:dyDescent="0.3">
      <c r="B11" s="13" t="s">
        <v>7</v>
      </c>
      <c r="C11" s="15">
        <v>50000</v>
      </c>
      <c r="D11" s="15">
        <v>50000</v>
      </c>
      <c r="E11" s="15">
        <v>50000</v>
      </c>
    </row>
    <row r="12" spans="1:5" ht="30" customHeight="1" thickBot="1" x14ac:dyDescent="0.3">
      <c r="B12" s="8" t="s">
        <v>8</v>
      </c>
      <c r="C12" s="10">
        <v>40000</v>
      </c>
      <c r="D12" s="10">
        <v>40000</v>
      </c>
      <c r="E12" s="10">
        <v>40000</v>
      </c>
    </row>
    <row r="13" spans="1:5" ht="30" customHeight="1" thickBot="1" x14ac:dyDescent="0.3">
      <c r="B13" s="14" t="s">
        <v>9</v>
      </c>
      <c r="C13" s="16">
        <v>35000</v>
      </c>
      <c r="D13" s="16">
        <v>35000</v>
      </c>
      <c r="E13" s="16">
        <v>35000</v>
      </c>
    </row>
    <row r="14" spans="1:5" ht="30" customHeight="1" thickBot="1" x14ac:dyDescent="0.3">
      <c r="B14" s="11" t="s">
        <v>10</v>
      </c>
      <c r="C14" s="12">
        <v>0</v>
      </c>
      <c r="D14" s="12">
        <v>0</v>
      </c>
      <c r="E14" s="12">
        <v>0</v>
      </c>
    </row>
    <row r="15" spans="1:5" ht="30" customHeight="1" x14ac:dyDescent="0.25">
      <c r="B15" s="23" t="s">
        <v>11</v>
      </c>
      <c r="C15" s="24">
        <f>SUBTOTAL(109,'KNOWLEDGE MANAGEMENT REPORT'!$C$11:$C$14)</f>
        <v>125000</v>
      </c>
      <c r="D15" s="24">
        <f>SUBTOTAL(109,'KNOWLEDGE MANAGEMENT REPORT'!$D$11:$D$14)</f>
        <v>125000</v>
      </c>
      <c r="E15" s="24">
        <f>SUBTOTAL(109,'KNOWLEDGE MANAGEMENT REPORT'!$E$11:$E$14)</f>
        <v>125000</v>
      </c>
    </row>
    <row r="17" spans="1:5" ht="30" customHeight="1" thickBot="1" x14ac:dyDescent="0.3">
      <c r="A17" s="29" t="s">
        <v>41</v>
      </c>
      <c r="B17" s="9" t="s">
        <v>12</v>
      </c>
      <c r="C17" s="9" t="s">
        <v>23</v>
      </c>
      <c r="D17" s="9" t="s">
        <v>24</v>
      </c>
      <c r="E17" s="9" t="s">
        <v>25</v>
      </c>
    </row>
    <row r="18" spans="1:5" ht="30" customHeight="1" thickBot="1" x14ac:dyDescent="0.3">
      <c r="B18" s="13" t="s">
        <v>13</v>
      </c>
      <c r="C18" s="13">
        <v>450</v>
      </c>
      <c r="D18" s="13">
        <v>500</v>
      </c>
      <c r="E18" s="13">
        <v>500</v>
      </c>
    </row>
    <row r="19" spans="1:5" ht="30" customHeight="1" thickBot="1" x14ac:dyDescent="0.3">
      <c r="B19" s="8" t="s">
        <v>14</v>
      </c>
      <c r="C19" s="8">
        <v>49</v>
      </c>
      <c r="D19" s="8">
        <v>233</v>
      </c>
      <c r="E19" s="8">
        <v>93</v>
      </c>
    </row>
    <row r="20" spans="1:5" ht="30" customHeight="1" thickBot="1" x14ac:dyDescent="0.3">
      <c r="B20" s="14" t="s">
        <v>15</v>
      </c>
      <c r="C20" s="17">
        <f>C19/C18</f>
        <v>0.10888888888888888</v>
      </c>
      <c r="D20" s="17">
        <f>D19/D18</f>
        <v>0.46600000000000003</v>
      </c>
      <c r="E20" s="17">
        <f>E19/E18</f>
        <v>0.186</v>
      </c>
    </row>
    <row r="21" spans="1:5" ht="30" customHeight="1" thickBot="1" x14ac:dyDescent="0.3">
      <c r="B21" s="8" t="s">
        <v>16</v>
      </c>
      <c r="C21" s="8">
        <v>89</v>
      </c>
      <c r="D21" s="8">
        <v>387</v>
      </c>
      <c r="E21" s="8">
        <v>237</v>
      </c>
    </row>
    <row r="22" spans="1:5" ht="30" customHeight="1" x14ac:dyDescent="0.25">
      <c r="B22" s="21" t="s">
        <v>15</v>
      </c>
      <c r="C22" s="25">
        <f>C21/C18</f>
        <v>0.19777777777777777</v>
      </c>
      <c r="D22" s="25">
        <f>D21/D18</f>
        <v>0.77400000000000002</v>
      </c>
      <c r="E22" s="25">
        <f>E21/E18</f>
        <v>0.47399999999999998</v>
      </c>
    </row>
    <row r="24" spans="1:5" ht="30" customHeight="1" thickBot="1" x14ac:dyDescent="0.3">
      <c r="A24" s="29" t="s">
        <v>42</v>
      </c>
      <c r="B24" s="9" t="s">
        <v>17</v>
      </c>
      <c r="C24" s="9" t="s">
        <v>23</v>
      </c>
      <c r="D24" s="9" t="s">
        <v>24</v>
      </c>
      <c r="E24" s="9" t="s">
        <v>25</v>
      </c>
    </row>
    <row r="25" spans="1:5" ht="30" customHeight="1" thickBot="1" x14ac:dyDescent="0.3">
      <c r="B25" s="13" t="s">
        <v>18</v>
      </c>
      <c r="C25" s="13">
        <v>134</v>
      </c>
      <c r="D25" s="13">
        <v>78</v>
      </c>
      <c r="E25" s="13">
        <v>215</v>
      </c>
    </row>
    <row r="26" spans="1:5" ht="30" customHeight="1" thickBot="1" x14ac:dyDescent="0.3">
      <c r="B26" s="8" t="s">
        <v>19</v>
      </c>
      <c r="C26" s="8">
        <v>93</v>
      </c>
      <c r="D26" s="8">
        <v>68</v>
      </c>
      <c r="E26" s="8">
        <v>186</v>
      </c>
    </row>
    <row r="27" spans="1:5" ht="30" customHeight="1" x14ac:dyDescent="0.25">
      <c r="B27" s="21" t="s">
        <v>20</v>
      </c>
      <c r="C27" s="25">
        <f>C26/C25</f>
        <v>0.69402985074626866</v>
      </c>
      <c r="D27" s="25">
        <f>D26/D25</f>
        <v>0.87179487179487181</v>
      </c>
      <c r="E27" s="25">
        <f>E26/E25</f>
        <v>0.8651162790697674</v>
      </c>
    </row>
  </sheetData>
  <mergeCells count="1">
    <mergeCell ref="B3:E3"/>
  </mergeCells>
  <printOptions horizontalCentered="1"/>
  <pageMargins left="0.4" right="0.4" top="0.4" bottom="0.4" header="0.3" footer="0.3"/>
  <pageSetup scale="90" fitToHeight="0" orientation="landscape" r:id="rId1"/>
  <headerFooter differentFirst="1">
    <oddFooter>Page &amp;P of &amp;N</oddFooter>
  </headerFooter>
  <tableParts count="4">
    <tablePart r:id="rId2"/>
    <tablePart r:id="rId3"/>
    <tablePart r:id="rId4"/>
    <tablePart r:id="rId5"/>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tabColor theme="4"/>
    <pageSetUpPr autoPageBreaks="0" fitToPage="1"/>
  </sheetPr>
  <dimension ref="B1:L22"/>
  <sheetViews>
    <sheetView showGridLines="0" zoomScaleNormal="100" workbookViewId="0"/>
  </sheetViews>
  <sheetFormatPr defaultRowHeight="30" customHeight="1" x14ac:dyDescent="0.25"/>
  <cols>
    <col min="1" max="1" width="2.7109375" style="32" customWidth="1"/>
    <col min="2" max="2" width="14.7109375" style="32" customWidth="1"/>
    <col min="3" max="3" width="12.7109375" style="32" customWidth="1"/>
    <col min="4" max="4" width="15.7109375" style="32" customWidth="1"/>
    <col min="5" max="9" width="12.5703125" style="32" customWidth="1"/>
    <col min="10" max="10" width="14.7109375" style="32" customWidth="1"/>
    <col min="11" max="12" width="12.5703125" style="32" customWidth="1"/>
    <col min="13" max="13" width="2.7109375" style="32" customWidth="1"/>
    <col min="14" max="16384" width="9.140625" style="32"/>
  </cols>
  <sheetData>
    <row r="1" spans="2:12" ht="30" customHeight="1" x14ac:dyDescent="0.25">
      <c r="B1" s="50" t="s">
        <v>71</v>
      </c>
      <c r="K1" s="49" t="s">
        <v>70</v>
      </c>
    </row>
    <row r="2" spans="2:12" ht="30" customHeight="1" x14ac:dyDescent="0.25">
      <c r="B2" s="39" t="s">
        <v>69</v>
      </c>
      <c r="C2" s="35"/>
      <c r="D2" s="35"/>
      <c r="E2" s="39" t="s">
        <v>68</v>
      </c>
      <c r="F2" s="35"/>
      <c r="G2" s="35"/>
      <c r="H2" s="39" t="s">
        <v>67</v>
      </c>
      <c r="I2" s="34" t="s">
        <v>66</v>
      </c>
      <c r="J2" s="46" t="str">
        <f>IF(COUNTA(ExpenseData[Date])=0,"",MIN(ExpenseData[Date]))</f>
        <v/>
      </c>
      <c r="K2" s="34" t="s">
        <v>65</v>
      </c>
      <c r="L2" s="46" t="str">
        <f>IF(COUNTA(ExpenseData[Date])=0,"",MAX(ExpenseData[Date]))</f>
        <v/>
      </c>
    </row>
    <row r="3" spans="2:12" ht="30" customHeight="1" x14ac:dyDescent="0.25">
      <c r="B3" s="48" t="s">
        <v>64</v>
      </c>
    </row>
    <row r="4" spans="2:12" ht="30" customHeight="1" x14ac:dyDescent="0.25">
      <c r="B4" s="34" t="s">
        <v>63</v>
      </c>
      <c r="C4" s="35"/>
      <c r="D4" s="35"/>
      <c r="F4" s="34" t="s">
        <v>62</v>
      </c>
      <c r="G4" s="35"/>
      <c r="H4" s="35"/>
      <c r="J4" s="34" t="s">
        <v>61</v>
      </c>
      <c r="K4" s="35"/>
      <c r="L4" s="35"/>
    </row>
    <row r="5" spans="2:12" ht="30" customHeight="1" x14ac:dyDescent="0.25">
      <c r="B5" s="34" t="s">
        <v>60</v>
      </c>
      <c r="C5" s="35"/>
      <c r="D5" s="35"/>
      <c r="F5" s="34" t="s">
        <v>59</v>
      </c>
      <c r="G5" s="35"/>
      <c r="H5" s="35"/>
      <c r="J5" s="34" t="s">
        <v>58</v>
      </c>
      <c r="K5" s="35"/>
      <c r="L5" s="35"/>
    </row>
    <row r="6" spans="2:12" ht="15" customHeight="1" x14ac:dyDescent="0.25"/>
    <row r="7" spans="2:12" ht="15" customHeight="1" x14ac:dyDescent="0.25">
      <c r="B7" s="47" t="s">
        <v>21</v>
      </c>
      <c r="C7" s="47" t="s">
        <v>57</v>
      </c>
      <c r="D7" s="47" t="s">
        <v>56</v>
      </c>
      <c r="E7" s="47" t="s">
        <v>55</v>
      </c>
      <c r="F7" s="47" t="s">
        <v>54</v>
      </c>
      <c r="G7" s="47" t="s">
        <v>53</v>
      </c>
      <c r="H7" s="47" t="s">
        <v>52</v>
      </c>
      <c r="I7" s="47" t="s">
        <v>51</v>
      </c>
      <c r="J7" s="47" t="s">
        <v>50</v>
      </c>
      <c r="K7" s="47" t="s">
        <v>49</v>
      </c>
      <c r="L7" s="47" t="s">
        <v>48</v>
      </c>
    </row>
    <row r="8" spans="2:12" ht="30" customHeight="1" x14ac:dyDescent="0.25">
      <c r="B8" s="46"/>
      <c r="C8" s="45"/>
      <c r="D8" s="45"/>
      <c r="E8" s="45"/>
      <c r="F8" s="44"/>
      <c r="G8" s="44"/>
      <c r="H8" s="44"/>
      <c r="I8" s="44"/>
      <c r="J8" s="44"/>
      <c r="K8" s="44"/>
      <c r="L8" s="44">
        <f>SUM(ExpenseData[[#This Row],[Hotel]:[Misc.]])</f>
        <v>0</v>
      </c>
    </row>
    <row r="9" spans="2:12" ht="30" customHeight="1" x14ac:dyDescent="0.25">
      <c r="B9" s="46"/>
      <c r="C9" s="45"/>
      <c r="D9" s="45"/>
      <c r="E9" s="45"/>
      <c r="F9" s="44"/>
      <c r="G9" s="44"/>
      <c r="H9" s="44"/>
      <c r="I9" s="44"/>
      <c r="J9" s="44"/>
      <c r="K9" s="44"/>
      <c r="L9" s="44">
        <f>SUM(ExpenseData[[#This Row],[Hotel]:[Misc.]])</f>
        <v>0</v>
      </c>
    </row>
    <row r="10" spans="2:12" ht="30" customHeight="1" x14ac:dyDescent="0.25">
      <c r="B10" s="46"/>
      <c r="C10" s="45"/>
      <c r="D10" s="45"/>
      <c r="E10" s="45"/>
      <c r="F10" s="44"/>
      <c r="G10" s="44"/>
      <c r="H10" s="44"/>
      <c r="I10" s="44"/>
      <c r="J10" s="44"/>
      <c r="K10" s="44"/>
      <c r="L10" s="44">
        <f>SUM(ExpenseData[[#This Row],[Hotel]:[Misc.]])</f>
        <v>0</v>
      </c>
    </row>
    <row r="11" spans="2:12" ht="30" customHeight="1" x14ac:dyDescent="0.25">
      <c r="B11" s="46"/>
      <c r="C11" s="45"/>
      <c r="D11" s="45"/>
      <c r="E11" s="45"/>
      <c r="F11" s="44"/>
      <c r="G11" s="44"/>
      <c r="H11" s="44"/>
      <c r="I11" s="44"/>
      <c r="J11" s="44"/>
      <c r="K11" s="44"/>
      <c r="L11" s="44">
        <f>SUM(ExpenseData[[#This Row],[Hotel]:[Misc.]])</f>
        <v>0</v>
      </c>
    </row>
    <row r="12" spans="2:12" ht="30" customHeight="1" x14ac:dyDescent="0.25">
      <c r="B12" s="46"/>
      <c r="C12" s="45"/>
      <c r="D12" s="45"/>
      <c r="E12" s="45"/>
      <c r="F12" s="44"/>
      <c r="G12" s="44"/>
      <c r="H12" s="44"/>
      <c r="I12" s="44"/>
      <c r="J12" s="44"/>
      <c r="K12" s="44"/>
      <c r="L12" s="44">
        <f>SUM(ExpenseData[[#This Row],[Hotel]:[Misc.]])</f>
        <v>0</v>
      </c>
    </row>
    <row r="13" spans="2:12" ht="30" customHeight="1" x14ac:dyDescent="0.25">
      <c r="B13" s="46"/>
      <c r="C13" s="45"/>
      <c r="D13" s="45"/>
      <c r="E13" s="45"/>
      <c r="F13" s="44"/>
      <c r="G13" s="44"/>
      <c r="H13" s="44"/>
      <c r="I13" s="44"/>
      <c r="J13" s="44"/>
      <c r="K13" s="44"/>
      <c r="L13" s="44">
        <f>SUM(ExpenseData[[#This Row],[Hotel]:[Misc.]])</f>
        <v>0</v>
      </c>
    </row>
    <row r="14" spans="2:12" ht="30" customHeight="1" x14ac:dyDescent="0.25">
      <c r="B14" s="46"/>
      <c r="C14" s="45"/>
      <c r="D14" s="45"/>
      <c r="E14" s="45"/>
      <c r="F14" s="44"/>
      <c r="G14" s="44"/>
      <c r="H14" s="44"/>
      <c r="I14" s="44"/>
      <c r="J14" s="44"/>
      <c r="K14" s="44"/>
      <c r="L14" s="44">
        <f>SUM(ExpenseData[[#This Row],[Hotel]:[Misc.]])</f>
        <v>0</v>
      </c>
    </row>
    <row r="15" spans="2:12" ht="30" customHeight="1" x14ac:dyDescent="0.25">
      <c r="B15" s="46"/>
      <c r="C15" s="45"/>
      <c r="D15" s="45"/>
      <c r="E15" s="45"/>
      <c r="F15" s="44"/>
      <c r="G15" s="44"/>
      <c r="H15" s="44"/>
      <c r="I15" s="44"/>
      <c r="J15" s="44"/>
      <c r="K15" s="44"/>
      <c r="L15" s="44">
        <f>SUM(ExpenseData[[#This Row],[Hotel]:[Misc.]])</f>
        <v>0</v>
      </c>
    </row>
    <row r="16" spans="2:12" ht="30" customHeight="1" x14ac:dyDescent="0.25">
      <c r="B16" s="46"/>
      <c r="C16" s="45"/>
      <c r="D16" s="45"/>
      <c r="E16" s="45"/>
      <c r="F16" s="44"/>
      <c r="G16" s="44"/>
      <c r="H16" s="44"/>
      <c r="I16" s="44"/>
      <c r="J16" s="44"/>
      <c r="K16" s="44"/>
      <c r="L16" s="44">
        <f>SUM(ExpenseData[[#This Row],[Hotel]:[Misc.]])</f>
        <v>0</v>
      </c>
    </row>
    <row r="17" spans="2:12" ht="30" customHeight="1" x14ac:dyDescent="0.25">
      <c r="B17" s="46"/>
      <c r="C17" s="45"/>
      <c r="D17" s="45"/>
      <c r="E17" s="45"/>
      <c r="F17" s="44"/>
      <c r="G17" s="44"/>
      <c r="H17" s="44"/>
      <c r="I17" s="44"/>
      <c r="J17" s="44"/>
      <c r="K17" s="44"/>
      <c r="L17" s="44">
        <f>SUM(ExpenseData[[#This Row],[Hotel]:[Misc.]])</f>
        <v>0</v>
      </c>
    </row>
    <row r="18" spans="2:12" ht="30" customHeight="1" x14ac:dyDescent="0.25">
      <c r="B18" s="46"/>
      <c r="C18" s="45"/>
      <c r="D18" s="45"/>
      <c r="E18" s="45"/>
      <c r="F18" s="44"/>
      <c r="G18" s="44"/>
      <c r="H18" s="44"/>
      <c r="I18" s="44"/>
      <c r="J18" s="44"/>
      <c r="K18" s="44"/>
      <c r="L18" s="44">
        <f>SUM(ExpenseData[[#This Row],[Hotel]:[Misc.]])</f>
        <v>0</v>
      </c>
    </row>
    <row r="19" spans="2:12" ht="30" customHeight="1" x14ac:dyDescent="0.25">
      <c r="B19" s="43" t="s">
        <v>48</v>
      </c>
      <c r="C19" s="43"/>
      <c r="D19" s="43"/>
      <c r="E19" s="42">
        <f>SUBTOTAL(109,ExpenseData[Hotel])</f>
        <v>0</v>
      </c>
      <c r="F19" s="42">
        <f>SUBTOTAL(109,ExpenseData[Transport])</f>
        <v>0</v>
      </c>
      <c r="G19" s="42">
        <f>SUBTOTAL(109,ExpenseData[Fuel])</f>
        <v>0</v>
      </c>
      <c r="H19" s="42">
        <f>SUBTOTAL(109,ExpenseData[Meals])</f>
        <v>0</v>
      </c>
      <c r="I19" s="42">
        <f>SUBTOTAL(109,ExpenseData[Phone])</f>
        <v>0</v>
      </c>
      <c r="J19" s="42">
        <f>SUBTOTAL(109,ExpenseData[Entertainment])</f>
        <v>0</v>
      </c>
      <c r="K19" s="42">
        <f>SUBTOTAL(109,ExpenseData[Misc.])</f>
        <v>0</v>
      </c>
      <c r="L19" s="42">
        <f>SUBTOTAL(109,ExpenseData[Total])</f>
        <v>0</v>
      </c>
    </row>
    <row r="20" spans="2:12" ht="30" customHeight="1" x14ac:dyDescent="0.25">
      <c r="C20" s="41"/>
      <c r="D20" s="41"/>
      <c r="E20" s="41"/>
      <c r="F20" s="41"/>
      <c r="G20" s="41"/>
      <c r="H20" s="41"/>
      <c r="I20" s="41"/>
      <c r="K20" s="34" t="s">
        <v>47</v>
      </c>
      <c r="L20" s="40">
        <f>ExpenseData[[#Totals],[Total]]</f>
        <v>0</v>
      </c>
    </row>
    <row r="21" spans="2:12" ht="30" customHeight="1" thickBot="1" x14ac:dyDescent="0.3">
      <c r="B21" s="39" t="s">
        <v>46</v>
      </c>
      <c r="C21" s="35"/>
      <c r="D21" s="35"/>
      <c r="E21" s="35"/>
      <c r="F21" s="38" t="s">
        <v>45</v>
      </c>
      <c r="G21" s="35"/>
      <c r="H21" s="35"/>
      <c r="I21" s="35"/>
      <c r="K21" s="34" t="s">
        <v>44</v>
      </c>
      <c r="L21" s="37">
        <v>0</v>
      </c>
    </row>
    <row r="22" spans="2:12" ht="30" customHeight="1" thickTop="1" x14ac:dyDescent="0.25">
      <c r="C22" s="35"/>
      <c r="D22" s="35"/>
      <c r="E22" s="35"/>
      <c r="F22" s="36"/>
      <c r="G22" s="35"/>
      <c r="H22" s="35"/>
      <c r="I22" s="35"/>
      <c r="K22" s="34" t="s">
        <v>43</v>
      </c>
      <c r="L22" s="33">
        <f>Subtotal-Advances</f>
        <v>0</v>
      </c>
    </row>
  </sheetData>
  <mergeCells count="12">
    <mergeCell ref="C21:E21"/>
    <mergeCell ref="C22:E22"/>
    <mergeCell ref="G21:I21"/>
    <mergeCell ref="G22:I22"/>
    <mergeCell ref="C5:D5"/>
    <mergeCell ref="C2:D2"/>
    <mergeCell ref="C4:D4"/>
    <mergeCell ref="K5:L5"/>
    <mergeCell ref="K4:L4"/>
    <mergeCell ref="G5:H5"/>
    <mergeCell ref="G4:H4"/>
    <mergeCell ref="F2:G2"/>
  </mergeCells>
  <dataValidations count="41">
    <dataValidation allowBlank="1" showInputMessage="1" showErrorMessage="1" prompt="The ending period for this expense report is in this cell and is automatically determined by the entries in the Expense Data table" sqref="L2"/>
    <dataValidation allowBlank="1" showInputMessage="1" showErrorMessage="1" prompt="Enter statement number for expense report in this cell" sqref="F2:G2"/>
    <dataValidation allowBlank="1" showInputMessage="1" showErrorMessage="1" prompt="Enter purpose of expense report in this cell" sqref="C2:D2"/>
    <dataValidation allowBlank="1" showInputMessage="1" showErrorMessage="1" prompt="Enter social security number in cell at right" sqref="J4"/>
    <dataValidation allowBlank="1" showInputMessage="1" showErrorMessage="1" prompt="Enter Employee ID in cell at right" sqref="J5"/>
    <dataValidation allowBlank="1" showInputMessage="1" showErrorMessage="1" prompt="Enter manager's name in cell at right" sqref="F5"/>
    <dataValidation allowBlank="1" showInputMessage="1" showErrorMessage="1" prompt="Enter employee's position in cell at right" sqref="F4"/>
    <dataValidation allowBlank="1" showInputMessage="1" showErrorMessage="1" prompt="Enter employee's department in cell at right" sqref="B5"/>
    <dataValidation allowBlank="1" showInputMessage="1" showErrorMessage="1" prompt="Enter employee's name in cell at right" sqref="B4"/>
    <dataValidation allowBlank="1" showInputMessage="1" showErrorMessage="1" prompt="Automatically calculated Total" sqref="L22"/>
    <dataValidation allowBlank="1" showInputMessage="1" showErrorMessage="1" prompt="Enter Advances in this cell" sqref="L21"/>
    <dataValidation allowBlank="1" showInputMessage="1" showErrorMessage="1" prompt="Automatically calculated Subtotal" sqref="L20"/>
    <dataValidation allowBlank="1" showInputMessage="1" showErrorMessage="1" prompt="Enter Notes in this cell" sqref="G21:I22"/>
    <dataValidation allowBlank="1" showInputMessage="1" showErrorMessage="1" prompt="Enter Notes in cells at right" sqref="F21"/>
    <dataValidation allowBlank="1" showInputMessage="1" showErrorMessage="1" prompt="Enter signature in this cell" sqref="C21:E22"/>
    <dataValidation allowBlank="1" showInputMessage="1" showErrorMessage="1" prompt="Enter remarks in cells at right" sqref="B21"/>
    <dataValidation allowBlank="1" showInputMessage="1" showErrorMessage="1" prompt="Total expenses are automatically calculated in this column under this heading for each date" sqref="L7"/>
    <dataValidation allowBlank="1" showInputMessage="1" showErrorMessage="1" prompt="Enter Miscellaneous expenses in this column under this heading" sqref="K7"/>
    <dataValidation allowBlank="1" showInputMessage="1" showErrorMessage="1" prompt="Enter Entertainment expenses in this column under this heading" sqref="J7"/>
    <dataValidation allowBlank="1" showInputMessage="1" showErrorMessage="1" prompt="Enter Phone expenses in this column under this heading" sqref="I7"/>
    <dataValidation allowBlank="1" showInputMessage="1" showErrorMessage="1" prompt="Enter Meal expenses in this column under this heading" sqref="H7"/>
    <dataValidation allowBlank="1" showInputMessage="1" showErrorMessage="1" prompt="Enter Fuel expenses in this column under this heading" sqref="G7"/>
    <dataValidation allowBlank="1" showInputMessage="1" showErrorMessage="1" prompt="Enter Transport expenses in this column under this heading" sqref="F7"/>
    <dataValidation allowBlank="1" showInputMessage="1" showErrorMessage="1" prompt="Enter Hotel expenses in this column under this heading" sqref="E7"/>
    <dataValidation allowBlank="1" showInputMessage="1" showErrorMessage="1" prompt="Enter Description in this column under this heading" sqref="D7"/>
    <dataValidation allowBlank="1" showInputMessage="1" showErrorMessage="1" prompt="Enter Account in this column under this heading" sqref="C7"/>
    <dataValidation allowBlank="1" showInputMessage="1" showErrorMessage="1" prompt="Enter Date in this column under this heading" sqref="B7"/>
    <dataValidation allowBlank="1" showInputMessage="1" showErrorMessage="1" prompt="The starting period for this expense report is in this cell and is automatically determined by the entries in the Expense Data table" sqref="J2"/>
    <dataValidation allowBlank="1" showInputMessage="1" showErrorMessage="1" prompt="Pay period is automatically updated based on entries in the Expense Data table" sqref="H2"/>
    <dataValidation allowBlank="1" showInputMessage="1" showErrorMessage="1" prompt="Enter Employee ID in this cell" sqref="K5:L5"/>
    <dataValidation allowBlank="1" showInputMessage="1" showErrorMessage="1" prompt="Enter Social Security Number in this cell" sqref="K4:L4"/>
    <dataValidation allowBlank="1" showInputMessage="1" showErrorMessage="1" prompt="Enter manager’s name in this cell" sqref="G5:H5"/>
    <dataValidation allowBlank="1" showInputMessage="1" showErrorMessage="1" prompt="Enter employee’s position in this cell" sqref="G4:H4"/>
    <dataValidation allowBlank="1" showInputMessage="1" showErrorMessage="1" prompt="Enter employee’s department in this cell" sqref="C5:D5"/>
    <dataValidation allowBlank="1" showInputMessage="1" showErrorMessage="1" prompt="Enter employee’s name in this cell" sqref="C4:D4"/>
    <dataValidation allowBlank="1" showInputMessage="1" showErrorMessage="1" prompt="Enter employee information in the cells below" sqref="B3"/>
    <dataValidation allowBlank="1" showInputMessage="1" showErrorMessage="1" prompt="Enter statement number in cell at right" sqref="E2"/>
    <dataValidation allowBlank="1" showInputMessage="1" showErrorMessage="1" prompt="Enter purpose of expenses in cell at right" sqref="B2"/>
    <dataValidation allowBlank="1" showInputMessage="1" showErrorMessage="1" prompt="Expense Report title is in this cell" sqref="B1"/>
    <dataValidation allowBlank="1" showInputMessage="1" showErrorMessage="1" prompt="The report is for the office use only" sqref="K1"/>
    <dataValidation allowBlank="1" showInputMessage="1" showErrorMessage="1" prompt="Track expenses in this Expense Report worksheet. Enter values in various expense categories in cells B2 to K5 and in Expense Data table" sqref="A1"/>
  </dataValidations>
  <printOptions horizontalCentered="1"/>
  <pageMargins left="0.4" right="0.4" top="0.4" bottom="0.4" header="0.3" footer="0.3"/>
  <pageSetup scale="85" fitToHeight="0" orientation="landscape" horizontalDpi="4294967293" r:id="rId1"/>
  <headerFooter differentFirst="1">
    <oddFooter>Page &amp;P of &amp;N</oddFooter>
  </headerFooter>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12</vt:i4>
      </vt:variant>
    </vt:vector>
  </HeadingPairs>
  <TitlesOfParts>
    <vt:vector size="19" baseType="lpstr">
      <vt:lpstr>Table of Contents</vt:lpstr>
      <vt:lpstr>Monthly Expenses</vt:lpstr>
      <vt:lpstr>Monthly Income</vt:lpstr>
      <vt:lpstr>Summary</vt:lpstr>
      <vt:lpstr>Start</vt:lpstr>
      <vt:lpstr>KNOWLEDGE MANAGEMENT REPORT</vt:lpstr>
      <vt:lpstr>EXPENSE REPORT</vt:lpstr>
      <vt:lpstr>Advances</vt:lpstr>
      <vt:lpstr>BudgetTitle</vt:lpstr>
      <vt:lpstr>'Monthly Expenses'!ColumnTitle1</vt:lpstr>
      <vt:lpstr>'Monthly Income'!ColumnTitle1</vt:lpstr>
      <vt:lpstr>Summary!ColumnTitle1</vt:lpstr>
      <vt:lpstr>ColumnTitle1</vt:lpstr>
      <vt:lpstr>ColumnTitle2</vt:lpstr>
      <vt:lpstr>ColumnTitle3</vt:lpstr>
      <vt:lpstr>'EXPENSE REPORT'!Print_Titles</vt:lpstr>
      <vt:lpstr>'Monthly Expenses'!Print_Titles</vt:lpstr>
      <vt:lpstr>'Monthly Income'!Print_Titles</vt:lpstr>
      <vt:lpstr>Subtotal</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JieJenn</dc:creator>
  <cp:lastModifiedBy>JieJenn</cp:lastModifiedBy>
  <dcterms:created xsi:type="dcterms:W3CDTF">2018-05-29T07:29:05Z</dcterms:created>
  <dcterms:modified xsi:type="dcterms:W3CDTF">2018-09-14T06:09:45Z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f42aa342-8706-4288-bd11-ebb85995028c_Enabled">
    <vt:lpwstr>True</vt:lpwstr>
  </property>
  <property fmtid="{D5CDD505-2E9C-101B-9397-08002B2CF9AE}" pid="3" name="MSIP_Label_f42aa342-8706-4288-bd11-ebb85995028c_SiteId">
    <vt:lpwstr>72f988bf-86f1-41af-91ab-2d7cd011db47</vt:lpwstr>
  </property>
  <property fmtid="{D5CDD505-2E9C-101B-9397-08002B2CF9AE}" pid="4" name="MSIP_Label_f42aa342-8706-4288-bd11-ebb85995028c_Owner">
    <vt:lpwstr>v-rimour@microsoft.com</vt:lpwstr>
  </property>
  <property fmtid="{D5CDD505-2E9C-101B-9397-08002B2CF9AE}" pid="5" name="MSIP_Label_f42aa342-8706-4288-bd11-ebb85995028c_SetDate">
    <vt:lpwstr>2018-05-29T07:29:10.5039457Z</vt:lpwstr>
  </property>
  <property fmtid="{D5CDD505-2E9C-101B-9397-08002B2CF9AE}" pid="6" name="MSIP_Label_f42aa342-8706-4288-bd11-ebb85995028c_Name">
    <vt:lpwstr>General</vt:lpwstr>
  </property>
  <property fmtid="{D5CDD505-2E9C-101B-9397-08002B2CF9AE}" pid="7" name="MSIP_Label_f42aa342-8706-4288-bd11-ebb85995028c_Application">
    <vt:lpwstr>Microsoft Azure Information Protection</vt:lpwstr>
  </property>
  <property fmtid="{D5CDD505-2E9C-101B-9397-08002B2CF9AE}" pid="8" name="MSIP_Label_f42aa342-8706-4288-bd11-ebb85995028c_Extended_MSFT_Method">
    <vt:lpwstr>Automatic</vt:lpwstr>
  </property>
  <property fmtid="{D5CDD505-2E9C-101B-9397-08002B2CF9AE}" pid="9" name="Sensitivity">
    <vt:lpwstr>General</vt:lpwstr>
  </property>
</Properties>
</file>